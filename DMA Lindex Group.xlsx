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en\OneDrive\Escritorio\"/>
    </mc:Choice>
  </mc:AlternateContent>
  <xr:revisionPtr revIDLastSave="0" documentId="13_ncr:1_{38B32ED2-88FE-4565-ACFC-AEF4CF995CC6}" xr6:coauthVersionLast="47" xr6:coauthVersionMax="47" xr10:uidLastSave="{00000000-0000-0000-0000-000000000000}"/>
  <bookViews>
    <workbookView xWindow="-108" yWindow="-108" windowWidth="23256" windowHeight="12456" xr2:uid="{A2FB9642-E8E8-40F2-B255-0DF4EA301262}"/>
  </bookViews>
  <sheets>
    <sheet name="ESRS Topics Overview" sheetId="1" r:id="rId1"/>
    <sheet name="List of IROs" sheetId="2" r:id="rId2"/>
    <sheet name="ESG Analysis" sheetId="3" r:id="rId3"/>
    <sheet name="Assignment Table" sheetId="4" r:id="rId4"/>
    <sheet name="IM Tableau" sheetId="5" r:id="rId5"/>
    <sheet name="FM Tableau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6" l="1"/>
  <c r="P7" i="6"/>
  <c r="J11" i="6"/>
  <c r="G11" i="6"/>
  <c r="Q11" i="6" s="1"/>
  <c r="J10" i="6"/>
  <c r="G10" i="6"/>
  <c r="Q10" i="6" s="1"/>
  <c r="J9" i="6"/>
  <c r="G9" i="6"/>
  <c r="P9" i="6" s="1"/>
  <c r="J8" i="6"/>
  <c r="G8" i="6"/>
  <c r="P8" i="6" s="1"/>
  <c r="J7" i="6"/>
  <c r="G7" i="6"/>
  <c r="J6" i="6"/>
  <c r="G6" i="6"/>
  <c r="P6" i="6" s="1"/>
  <c r="J5" i="6"/>
  <c r="G5" i="6"/>
  <c r="Q5" i="6" s="1"/>
  <c r="J4" i="6"/>
  <c r="G4" i="6"/>
  <c r="J3" i="6"/>
  <c r="G3" i="6"/>
  <c r="Q3" i="6" s="1"/>
  <c r="J2" i="6"/>
  <c r="G2" i="6"/>
  <c r="P2" i="6" s="1"/>
  <c r="O6" i="5"/>
  <c r="P6" i="5" s="1"/>
  <c r="L6" i="5"/>
  <c r="M6" i="5" s="1"/>
  <c r="J6" i="5"/>
  <c r="I6" i="5"/>
  <c r="G6" i="5"/>
  <c r="F6" i="5"/>
  <c r="L5" i="5"/>
  <c r="M5" i="5" s="1"/>
  <c r="I5" i="5"/>
  <c r="J5" i="5" s="1"/>
  <c r="F5" i="5"/>
  <c r="O5" i="5" s="1"/>
  <c r="P5" i="5" s="1"/>
  <c r="O4" i="5"/>
  <c r="P4" i="5" s="1"/>
  <c r="L4" i="5"/>
  <c r="M4" i="5" s="1"/>
  <c r="J4" i="5"/>
  <c r="I4" i="5"/>
  <c r="G4" i="5"/>
  <c r="F4" i="5"/>
  <c r="L3" i="5"/>
  <c r="M3" i="5" s="1"/>
  <c r="I3" i="5"/>
  <c r="J3" i="5" s="1"/>
  <c r="F3" i="5"/>
  <c r="G3" i="5" s="1"/>
  <c r="O2" i="5"/>
  <c r="P2" i="5" s="1"/>
  <c r="L2" i="5"/>
  <c r="M2" i="5" s="1"/>
  <c r="J2" i="5"/>
  <c r="I2" i="5"/>
  <c r="G2" i="5"/>
  <c r="F2" i="5"/>
  <c r="I5" i="3"/>
  <c r="F5" i="3"/>
  <c r="P10" i="6" l="1"/>
  <c r="P11" i="6"/>
  <c r="Q7" i="6"/>
  <c r="P5" i="6"/>
  <c r="Q8" i="6"/>
  <c r="P3" i="6"/>
  <c r="Q4" i="6"/>
  <c r="Q9" i="6"/>
  <c r="Q2" i="6"/>
  <c r="Q6" i="6"/>
  <c r="G5" i="5"/>
  <c r="O3" i="5"/>
  <c r="P3" i="5" s="1"/>
  <c r="G5" i="3" l="1"/>
  <c r="J5" i="3"/>
  <c r="L5" i="3"/>
  <c r="M5" i="3" s="1"/>
  <c r="I22" i="3"/>
  <c r="F22" i="3"/>
  <c r="I19" i="3"/>
  <c r="F19" i="3"/>
  <c r="I20" i="3"/>
  <c r="F20" i="3"/>
  <c r="I16" i="3"/>
  <c r="F16" i="3"/>
  <c r="I14" i="3"/>
  <c r="F14" i="3"/>
  <c r="F23" i="3"/>
  <c r="F21" i="3"/>
  <c r="F18" i="3"/>
  <c r="F17" i="3"/>
  <c r="I23" i="3"/>
  <c r="I21" i="3"/>
  <c r="I18" i="3"/>
  <c r="I17" i="3"/>
  <c r="I15" i="3"/>
  <c r="F15" i="3"/>
  <c r="L9" i="3"/>
  <c r="M9" i="3" s="1"/>
  <c r="I9" i="3"/>
  <c r="J9" i="3" s="1"/>
  <c r="F9" i="3"/>
  <c r="L8" i="3"/>
  <c r="M8" i="3" s="1"/>
  <c r="I8" i="3"/>
  <c r="J8" i="3" s="1"/>
  <c r="F8" i="3"/>
  <c r="G8" i="3" s="1"/>
  <c r="L7" i="3"/>
  <c r="M7" i="3" s="1"/>
  <c r="I7" i="3"/>
  <c r="J7" i="3" s="1"/>
  <c r="F7" i="3"/>
  <c r="L6" i="3"/>
  <c r="M6" i="3" s="1"/>
  <c r="I6" i="3"/>
  <c r="J6" i="3" s="1"/>
  <c r="F6" i="3"/>
  <c r="P19" i="3" l="1"/>
  <c r="O22" i="3"/>
  <c r="P22" i="3"/>
  <c r="O5" i="3"/>
  <c r="P5" i="3" s="1"/>
  <c r="P20" i="3"/>
  <c r="O19" i="3"/>
  <c r="O20" i="3"/>
  <c r="P14" i="3"/>
  <c r="P17" i="3"/>
  <c r="P16" i="3"/>
  <c r="O17" i="3"/>
  <c r="O16" i="3"/>
  <c r="O14" i="3"/>
  <c r="P18" i="3"/>
  <c r="P23" i="3"/>
  <c r="P21" i="3"/>
  <c r="O18" i="3"/>
  <c r="O21" i="3"/>
  <c r="O23" i="3"/>
  <c r="P15" i="3"/>
  <c r="O15" i="3"/>
  <c r="O6" i="3"/>
  <c r="P6" i="3" s="1"/>
  <c r="O8" i="3"/>
  <c r="P8" i="3" s="1"/>
  <c r="O9" i="3"/>
  <c r="P9" i="3" s="1"/>
  <c r="O7" i="3"/>
  <c r="P7" i="3" s="1"/>
  <c r="G9" i="3"/>
  <c r="G7" i="3"/>
  <c r="G6" i="3"/>
</calcChain>
</file>

<file path=xl/sharedStrings.xml><?xml version="1.0" encoding="utf-8"?>
<sst xmlns="http://schemas.openxmlformats.org/spreadsheetml/2006/main" count="508" uniqueCount="164">
  <si>
    <t>Topic</t>
  </si>
  <si>
    <t>Sub-topic</t>
  </si>
  <si>
    <t>ENVIRONMENTAL</t>
  </si>
  <si>
    <t>E1 Climate change</t>
  </si>
  <si>
    <t>E1.1 Climate change adaptation</t>
  </si>
  <si>
    <t>E1.2 Climate change mitigation</t>
  </si>
  <si>
    <t>E1.3 Energy</t>
  </si>
  <si>
    <t>E2 Pollution</t>
  </si>
  <si>
    <t>E2.1 Pollution of air</t>
  </si>
  <si>
    <t>E2.2 Pollution of water</t>
  </si>
  <si>
    <t>E2.3 Pollution of soil</t>
  </si>
  <si>
    <t>E2.4 Pollution of living organisms and food resources</t>
  </si>
  <si>
    <t>E2.5 Substances of concern</t>
  </si>
  <si>
    <t>E2.6 Substances of very high concern</t>
  </si>
  <si>
    <t>E2.7 Microplastics</t>
  </si>
  <si>
    <t>E3 Water and marine resources</t>
  </si>
  <si>
    <t>E3.1 Water</t>
  </si>
  <si>
    <t>Water consumption; Water withdrawals; Water discharges; Water discharges in the oceans; Extraction and use of marine resources</t>
  </si>
  <si>
    <t>E3.2 Marine resources</t>
  </si>
  <si>
    <t>E4 Biodiversity and ecosystems</t>
  </si>
  <si>
    <t>E4.1 Direct impact drivers of biodiversity loss</t>
  </si>
  <si>
    <t>Climate Change; Land-use change, fresh water-use change and sea-use change; Direct exploitation; Invasive alien species; Pollution; Others</t>
  </si>
  <si>
    <t>E4.2 Impacts on the state of species</t>
  </si>
  <si>
    <t>Examples: Species population size, Species global extinction risk</t>
  </si>
  <si>
    <t>E4.3 Impacts on the extent and condition of ecosystems</t>
  </si>
  <si>
    <t>Examples: Land degradation, Desertification, Soil sealing</t>
  </si>
  <si>
    <t>E4.4 Impacts and dependencies on ecosystem services</t>
  </si>
  <si>
    <t>E5 Circular economy</t>
  </si>
  <si>
    <t>E5.1 Resources inflows, including resource use</t>
  </si>
  <si>
    <t>E5.2 Resource outflows related to products and services</t>
  </si>
  <si>
    <t>E5.3 Waste</t>
  </si>
  <si>
    <t>SOCIAL</t>
  </si>
  <si>
    <t>S1 Own workforce</t>
  </si>
  <si>
    <t>S1.1 Working conditions</t>
  </si>
  <si>
    <t>Secure employment; Working time; Adequate wages; Social dialogue; Freedom of association, the existence of works councils and the information, consultation and participation rights of workers; Collective bargaining, including rate of workers covered by collective agreements; Work-life balance; Health and safety</t>
  </si>
  <si>
    <t>S1.2 Equal treatment and opportunities for all</t>
  </si>
  <si>
    <t>Gender equality and equal pay for work of equal value; Training and skills development; Employment and inclusion of persons with disabilities; Measures against violence and harassment in the workplace; Diversity</t>
  </si>
  <si>
    <t>S1.3 Other work-related rights</t>
  </si>
  <si>
    <t>Child labour; Forced labour; Adequate housing; Privacy</t>
  </si>
  <si>
    <t>S2 Workers in the value chain</t>
  </si>
  <si>
    <t>S2.1 Working conditions</t>
  </si>
  <si>
    <t>Secure employment; Working time; Adequate wages; Social dialogue; Freedom of association, including the existence of work councils; Collective bargaining; Work-life balance; Health and safety</t>
  </si>
  <si>
    <t>S2.2 Equal treatment and opportunities for all</t>
  </si>
  <si>
    <t>Gender equality and equal pay for work of equal value; Training and skills development; The employment and inclusion of persons with disabilities; Measures against violence and harassment in the workplace; Diversity</t>
  </si>
  <si>
    <t>S2.3 Other work-related rights</t>
  </si>
  <si>
    <t>Child labour; Forced labour; Adequate housing; Water and sanitation; Privacy</t>
  </si>
  <si>
    <t>S3 Affected communities</t>
  </si>
  <si>
    <t>S3.1 Communities’ economic, social and cultural rights</t>
  </si>
  <si>
    <t>Adequate housing; Adequate food; Water and sanitation; Land-related impacts; Security-related impacts</t>
  </si>
  <si>
    <t>S3.2 Communities’ civil and political rights</t>
  </si>
  <si>
    <t>Freedom of expression; Freedom of assembly; Impacts on human rights defenders</t>
  </si>
  <si>
    <t>S3.3 Rights of indigenous peoples</t>
  </si>
  <si>
    <t>Free, prior and informed consent; Self-determination; Cultural rights</t>
  </si>
  <si>
    <t>S4 Consumers and end-users</t>
  </si>
  <si>
    <t>S4.1 Information-related impacts for consumers and/or end-users</t>
  </si>
  <si>
    <t>Privacy; Freedom of expression; Access to (quality) information</t>
  </si>
  <si>
    <t>S4.2 Personal safety of consumers and/or end-users</t>
  </si>
  <si>
    <t>Health and safety; Security of a person; Protection of children</t>
  </si>
  <si>
    <t>S4.3 Social inclusion of consumers and/or end-users</t>
  </si>
  <si>
    <t>Non-discrimination; Access to products and services; Responsible marketing practices</t>
  </si>
  <si>
    <t>GOVERNANCE</t>
  </si>
  <si>
    <t>G1 Business conduct</t>
  </si>
  <si>
    <t>G1.1 Corporate culture</t>
  </si>
  <si>
    <t>G1.2 Protection of whistle-blowers</t>
  </si>
  <si>
    <t>G1.3 Animal welfare</t>
  </si>
  <si>
    <t>G1.4 Political engagement</t>
  </si>
  <si>
    <t>G1.5 Management of relationships with suppliers including payment practices</t>
  </si>
  <si>
    <t>G1.6 Corruption and bribery</t>
  </si>
  <si>
    <t>Prevention and detection including training; Incidents</t>
  </si>
  <si>
    <t>Sub-sub-topic</t>
  </si>
  <si>
    <t>ESRS</t>
  </si>
  <si>
    <t>Sustainability Aspect</t>
  </si>
  <si>
    <t>Impact</t>
  </si>
  <si>
    <t>Risk</t>
  </si>
  <si>
    <t>Opportunity</t>
  </si>
  <si>
    <t>ESRS E1</t>
  </si>
  <si>
    <t>Negative: Greenhouse gas (GHG) emissions generated across the value chain (Scope 1, 2, and 3). Positive: Accelerated 25% reduction in industrial and energy-based Scope 3 emissions compared to the 2022 base year.</t>
  </si>
  <si>
    <t>Rising operational and regulatory costs driven by upcoming European carbon regulations (e.g., CBAM or direct carbon taxation) if supply chain decarbonization targets are missed.</t>
  </si>
  <si>
    <t>Enhanced competitive market positioning, brand differentiation, and improved access to sustainable financing (green bonds) by successfully decoupling economic growth from operational emissions.</t>
  </si>
  <si>
    <t>ESRS E5</t>
  </si>
  <si>
    <t>Negative: Generation of post-consumer textile waste and inefficiencies in using virgin materials for garment manufacturing. Positive: Implementation of formal circular economy and textile recycling strategies since 2023.</t>
  </si>
  <si>
    <t>Loss of access to key European markets due to new Extended Producer Responsibility (EPR) regulations requiring fashion brands to take financial and operational responsibility for textile waste.</t>
  </si>
  <si>
    <t>Capturing new conscious consumer segments and reducing raw material costs over time by scaling circular collections based on recycled textiles and closed-loop business models.</t>
  </si>
  <si>
    <t>ESRS S2</t>
  </si>
  <si>
    <t>Positive: Active mitigation of labor risks by maintaining 98% of tier-1 and tier-2 supplier factories under active amfori BSCI and SMETA social audits.</t>
  </si>
  <si>
    <t>Severe supply chain disruptions, brand reputation damage, and legal penalties if labor rights violations or non-compliance are discovered within supplier facilities.</t>
  </si>
  <si>
    <t>Increased supply chain resilience, higher manufacturing quality, and long-term loyalty from strategic suppliers by ensuring fair, stable, and safe working conditions.</t>
  </si>
  <si>
    <t>Positive: Drastic increase in material and fiber transparency through the full digital integration of the supply chain into the TextileGenesis traceability platform.</t>
  </si>
  <si>
    <t>Non-compliance penalties under the Corporate Sustainability Due Diligence Directive (CSDDD) if the company fails to provide audited, verifiable proof of ethical and forced-labor-free fiber origins.</t>
  </si>
  <si>
    <t>Industry leadership in the retail fashion sector by offering end-consumers complete, verifiable digital product passports and full fiber-to-store traceability.</t>
  </si>
  <si>
    <t>ESRS G1</t>
  </si>
  <si>
    <t>Positive: Stabilization of commercial relationships and corporate governance after successfully completing the group's financial restructuring process in August 2025, operating under Lindex Group plc.</t>
  </si>
  <si>
    <t>Supply volatility or loss of critical suppliers if payment practices, credit terms, or purchasing contracts fail to smoothly align with the new post-restructuring corporate framework.</t>
  </si>
  <si>
    <t>Strengthening strategic vendor partnerships for joint investments in supply chain decarbonization and automation due to long-term financial stability gained post-restructuring.</t>
  </si>
  <si>
    <t>Impacts</t>
  </si>
  <si>
    <t>Impact Type</t>
  </si>
  <si>
    <t>Scale</t>
  </si>
  <si>
    <t>Value</t>
  </si>
  <si>
    <t>Value * Likelihood</t>
  </si>
  <si>
    <t>Scope</t>
  </si>
  <si>
    <t>Irremediable Character</t>
  </si>
  <si>
    <t>Likelihood</t>
  </si>
  <si>
    <t>Impact-Index</t>
  </si>
  <si>
    <t>Conclusion</t>
  </si>
  <si>
    <t>Low</t>
  </si>
  <si>
    <t>High</t>
  </si>
  <si>
    <t>No entry</t>
  </si>
  <si>
    <t>Medium</t>
  </si>
  <si>
    <t>Risks/Opportunities</t>
  </si>
  <si>
    <t>Likelihood of Occurence</t>
  </si>
  <si>
    <t>Potential Magnitude</t>
  </si>
  <si>
    <t>Possible (once every 1-2 years)</t>
  </si>
  <si>
    <t xml:space="preserve">Likely (1-4 times a year) </t>
  </si>
  <si>
    <t>Unlikely (5 years or longer)</t>
  </si>
  <si>
    <t>Rarely (once every 1-5 years)</t>
  </si>
  <si>
    <t>Moderate</t>
  </si>
  <si>
    <t>Insignificant</t>
  </si>
  <si>
    <t xml:space="preserve">Often (4-12 times a year) </t>
  </si>
  <si>
    <t>Continuously (at least once per month)</t>
  </si>
  <si>
    <t>Actual Positive</t>
  </si>
  <si>
    <t>Actual Negative</t>
  </si>
  <si>
    <t>Potential Positive</t>
  </si>
  <si>
    <t>Potential Negative</t>
  </si>
  <si>
    <t>Double Materiality Assessment</t>
  </si>
  <si>
    <t>Assignment Table Impact</t>
  </si>
  <si>
    <t>Number</t>
  </si>
  <si>
    <t>Text</t>
  </si>
  <si>
    <t>Text values</t>
  </si>
  <si>
    <t>Numerical values</t>
  </si>
  <si>
    <t>Very High</t>
  </si>
  <si>
    <t>Risks/Opportunities: Potential Magnitude</t>
  </si>
  <si>
    <t>N/A</t>
  </si>
  <si>
    <t>Risks/Opportunities: Likelihood of Occurence</t>
  </si>
  <si>
    <t>E1.2 Risk</t>
  </si>
  <si>
    <t>E1.2 Opportunity</t>
  </si>
  <si>
    <t>S2.1 Risk</t>
  </si>
  <si>
    <t>S2.1 Opportunity</t>
  </si>
  <si>
    <t>S2.3 Opportunity</t>
  </si>
  <si>
    <t>S2.3 Risk</t>
  </si>
  <si>
    <t>G1.5 Risk</t>
  </si>
  <si>
    <t>G1.5 Opportunity</t>
  </si>
  <si>
    <t>E5.2 Risk</t>
  </si>
  <si>
    <t>E5.2 Opportunity</t>
  </si>
  <si>
    <t>E1.2</t>
  </si>
  <si>
    <t>E5.2</t>
  </si>
  <si>
    <t>S2.1</t>
  </si>
  <si>
    <t>S2.3</t>
  </si>
  <si>
    <t>G1.5</t>
  </si>
  <si>
    <t>Climate change mitigation</t>
  </si>
  <si>
    <t>Resource outflows related to products and services</t>
  </si>
  <si>
    <t>Working conditions</t>
  </si>
  <si>
    <t>Other work-related rights</t>
  </si>
  <si>
    <t>Management of relationships with suppliers including payment practices</t>
  </si>
  <si>
    <t>Environmental</t>
  </si>
  <si>
    <t>Social</t>
  </si>
  <si>
    <t>Governance</t>
  </si>
  <si>
    <t>Impact Materiality</t>
  </si>
  <si>
    <t>Financial Materiality</t>
  </si>
  <si>
    <t>Scale Value</t>
  </si>
  <si>
    <t>Scope Value</t>
  </si>
  <si>
    <t>Potential Value</t>
  </si>
  <si>
    <t>R/O-Index</t>
  </si>
  <si>
    <t>Likelihood Value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</si>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</sst>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Lato"/>
      <family val="2"/>
    </font>
    <font>
      <sz val="12"/>
      <color theme="1"/>
      <name val="Lato"/>
      <family val="2"/>
    </font>
    <font>
      <sz val="9"/>
      <color theme="1"/>
      <name val="Lato"/>
      <family val="2"/>
    </font>
    <font>
      <sz val="11"/>
      <color theme="0"/>
      <name val="Lato"/>
      <family val="2"/>
    </font>
    <font>
      <sz val="8"/>
      <name val="Aptos Narrow"/>
      <family val="2"/>
      <scheme val="minor"/>
    </font>
    <font>
      <b/>
      <sz val="14"/>
      <color theme="1"/>
      <name val="Lato"/>
      <family val="2"/>
    </font>
    <font>
      <b/>
      <sz val="18"/>
      <color theme="1"/>
      <name val="Lato"/>
      <family val="2"/>
    </font>
    <font>
      <b/>
      <sz val="14"/>
      <color theme="1"/>
      <name val="Lato"/>
      <family val="2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1" fillId="0" borderId="1" xfId="0" applyFont="1" applyBorder="1"/>
    <xf numFmtId="0" fontId="4" fillId="4" borderId="1" xfId="0" applyFont="1" applyFill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center"/>
    </xf>
    <xf numFmtId="0" fontId="4" fillId="4" borderId="6" xfId="0" applyFont="1" applyFill="1" applyBorder="1"/>
    <xf numFmtId="0" fontId="4" fillId="4" borderId="6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6" borderId="0" xfId="0" applyFont="1" applyFill="1"/>
    <xf numFmtId="0" fontId="1" fillId="6" borderId="1" xfId="0" applyFont="1" applyFill="1" applyBorder="1" applyAlignment="1">
      <alignment horizontal="left" vertical="center"/>
    </xf>
    <xf numFmtId="0" fontId="4" fillId="4" borderId="6" xfId="0" applyFont="1" applyFill="1" applyBorder="1" applyAlignment="1">
      <alignment horizontal="center"/>
    </xf>
    <xf numFmtId="0" fontId="0" fillId="0" borderId="1" xfId="0" applyBorder="1"/>
    <xf numFmtId="0" fontId="0" fillId="0" borderId="1" xfId="0" applyBorder="1" applyProtection="1">
      <protection hidden="1"/>
    </xf>
    <xf numFmtId="0" fontId="0" fillId="6" borderId="1" xfId="0" applyFill="1" applyBorder="1" applyProtection="1">
      <protection hidden="1"/>
    </xf>
    <xf numFmtId="0" fontId="0" fillId="6" borderId="0" xfId="0" applyFill="1"/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vertical="center"/>
    </xf>
    <xf numFmtId="0" fontId="1" fillId="7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4" borderId="10" xfId="0" applyFont="1" applyFill="1" applyBorder="1"/>
    <xf numFmtId="0" fontId="4" fillId="4" borderId="10" xfId="0" applyFont="1" applyFill="1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1" fillId="6" borderId="2" xfId="0" applyFont="1" applyFill="1" applyBorder="1" applyAlignment="1">
      <alignment vertical="center"/>
    </xf>
    <xf numFmtId="0" fontId="1" fillId="0" borderId="2" xfId="0" applyFont="1" applyBorder="1"/>
    <xf numFmtId="0" fontId="1" fillId="0" borderId="3" xfId="0" applyFont="1" applyBorder="1"/>
    <xf numFmtId="0" fontId="1" fillId="0" borderId="3" xfId="0" applyFont="1" applyBorder="1" applyAlignment="1">
      <alignment horizontal="left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4" fillId="4" borderId="11" xfId="0" applyFont="1" applyFill="1" applyBorder="1" applyAlignment="1">
      <alignment horizontal="center"/>
    </xf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4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 textRotation="255" shrinkToFit="1"/>
    </xf>
    <xf numFmtId="0" fontId="1" fillId="0" borderId="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textRotation="255" wrapText="1"/>
    </xf>
    <xf numFmtId="0" fontId="1" fillId="5" borderId="1" xfId="0" applyFont="1" applyFill="1" applyBorder="1" applyAlignment="1">
      <alignment horizontal="center" vertical="center" textRotation="255" wrapText="1"/>
    </xf>
    <xf numFmtId="0" fontId="1" fillId="2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2" borderId="8" xfId="0" applyFont="1" applyFill="1" applyBorder="1" applyAlignment="1">
      <alignment horizontal="left" vertical="center"/>
    </xf>
    <xf numFmtId="0" fontId="1" fillId="2" borderId="9" xfId="0" applyFont="1" applyFill="1" applyBorder="1" applyAlignment="1">
      <alignment horizontal="left" vertical="center"/>
    </xf>
    <xf numFmtId="0" fontId="1" fillId="5" borderId="8" xfId="0" applyFont="1" applyFill="1" applyBorder="1" applyAlignment="1">
      <alignment horizontal="left" vertical="center"/>
    </xf>
    <xf numFmtId="0" fontId="1" fillId="5" borderId="9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left" vertical="center"/>
    </xf>
    <xf numFmtId="0" fontId="1" fillId="3" borderId="9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6" borderId="3" xfId="0" applyFont="1" applyFill="1" applyBorder="1" applyAlignment="1">
      <alignment vertical="center"/>
    </xf>
  </cellXfs>
  <cellStyles count="1">
    <cellStyle name="Normal" xfId="0" builtinId="0"/>
  </cellStyles>
  <dxfs count="6"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fgColor theme="5" tint="0.39994506668294322"/>
          <bgColor rgb="FFFF6600"/>
        </patternFill>
      </fill>
    </dxf>
    <dxf>
      <fill>
        <patternFill>
          <bgColor theme="9" tint="0.59996337778862885"/>
        </patternFill>
      </fill>
    </dxf>
    <dxf>
      <fill>
        <patternFill>
          <bgColor theme="7" tint="0.39994506668294322"/>
        </patternFill>
      </fill>
    </dxf>
    <dxf>
      <fill>
        <patternFill>
          <fgColor theme="5" tint="0.39994506668294322"/>
          <bgColor rgb="FFFF66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7DB71-8DC8-47CD-AFCE-2E4185E471A3}">
  <sheetPr>
    <pageSetUpPr autoPageBreaks="0"/>
  </sheetPr>
  <dimension ref="A1:D48"/>
  <sheetViews>
    <sheetView tabSelected="1" zoomScale="70" zoomScaleNormal="7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6.8" x14ac:dyDescent="0.4"/>
  <cols>
    <col min="1" max="1" width="4.33203125" style="13" customWidth="1"/>
    <col min="2" max="2" width="16.88671875" style="13" bestFit="1" customWidth="1"/>
    <col min="3" max="3" width="53.77734375" style="13" customWidth="1"/>
    <col min="4" max="4" width="196.33203125" style="13" customWidth="1"/>
    <col min="5" max="16384" width="8.88671875" style="13"/>
  </cols>
  <sheetData>
    <row r="1" spans="1:4" x14ac:dyDescent="0.4">
      <c r="A1" s="3"/>
      <c r="B1" s="3" t="s">
        <v>0</v>
      </c>
      <c r="C1" s="3" t="s">
        <v>1</v>
      </c>
      <c r="D1" s="3" t="s">
        <v>69</v>
      </c>
    </row>
    <row r="2" spans="1:4" x14ac:dyDescent="0.4">
      <c r="A2" s="51" t="s">
        <v>2</v>
      </c>
      <c r="B2" s="53" t="s">
        <v>3</v>
      </c>
      <c r="C2" s="53"/>
      <c r="D2" s="53"/>
    </row>
    <row r="3" spans="1:4" x14ac:dyDescent="0.4">
      <c r="A3" s="51"/>
      <c r="B3" s="56"/>
      <c r="C3" s="2" t="s">
        <v>4</v>
      </c>
      <c r="D3" s="2"/>
    </row>
    <row r="4" spans="1:4" x14ac:dyDescent="0.4">
      <c r="A4" s="51"/>
      <c r="B4" s="56"/>
      <c r="C4" s="2" t="s">
        <v>5</v>
      </c>
      <c r="D4" s="2"/>
    </row>
    <row r="5" spans="1:4" x14ac:dyDescent="0.4">
      <c r="A5" s="51"/>
      <c r="B5" s="56"/>
      <c r="C5" s="2" t="s">
        <v>6</v>
      </c>
      <c r="D5" s="2"/>
    </row>
    <row r="6" spans="1:4" x14ac:dyDescent="0.4">
      <c r="A6" s="51"/>
      <c r="B6" s="53" t="s">
        <v>7</v>
      </c>
      <c r="C6" s="53"/>
      <c r="D6" s="53"/>
    </row>
    <row r="7" spans="1:4" x14ac:dyDescent="0.4">
      <c r="A7" s="51"/>
      <c r="B7" s="57"/>
      <c r="C7" s="2" t="s">
        <v>8</v>
      </c>
      <c r="D7" s="2"/>
    </row>
    <row r="8" spans="1:4" x14ac:dyDescent="0.4">
      <c r="A8" s="51"/>
      <c r="B8" s="57"/>
      <c r="C8" s="2" t="s">
        <v>9</v>
      </c>
      <c r="D8" s="2"/>
    </row>
    <row r="9" spans="1:4" x14ac:dyDescent="0.4">
      <c r="A9" s="51"/>
      <c r="B9" s="57"/>
      <c r="C9" s="2" t="s">
        <v>10</v>
      </c>
      <c r="D9" s="2"/>
    </row>
    <row r="10" spans="1:4" x14ac:dyDescent="0.4">
      <c r="A10" s="51"/>
      <c r="B10" s="57"/>
      <c r="C10" s="2" t="s">
        <v>11</v>
      </c>
      <c r="D10" s="2"/>
    </row>
    <row r="11" spans="1:4" x14ac:dyDescent="0.4">
      <c r="A11" s="51"/>
      <c r="B11" s="57"/>
      <c r="C11" s="2" t="s">
        <v>12</v>
      </c>
      <c r="D11" s="2"/>
    </row>
    <row r="12" spans="1:4" x14ac:dyDescent="0.4">
      <c r="A12" s="51"/>
      <c r="B12" s="57"/>
      <c r="C12" s="2" t="s">
        <v>13</v>
      </c>
      <c r="D12" s="2"/>
    </row>
    <row r="13" spans="1:4" x14ac:dyDescent="0.4">
      <c r="A13" s="51"/>
      <c r="B13" s="57"/>
      <c r="C13" s="2" t="s">
        <v>14</v>
      </c>
      <c r="D13" s="2"/>
    </row>
    <row r="14" spans="1:4" x14ac:dyDescent="0.4">
      <c r="A14" s="51"/>
      <c r="B14" s="53" t="s">
        <v>15</v>
      </c>
      <c r="C14" s="53"/>
      <c r="D14" s="53"/>
    </row>
    <row r="15" spans="1:4" x14ac:dyDescent="0.4">
      <c r="A15" s="51"/>
      <c r="B15" s="48"/>
      <c r="C15" s="2" t="s">
        <v>16</v>
      </c>
      <c r="D15" s="2" t="s">
        <v>17</v>
      </c>
    </row>
    <row r="16" spans="1:4" x14ac:dyDescent="0.4">
      <c r="A16" s="51"/>
      <c r="B16" s="49"/>
      <c r="C16" s="2" t="s">
        <v>18</v>
      </c>
      <c r="D16" s="2"/>
    </row>
    <row r="17" spans="1:4" x14ac:dyDescent="0.4">
      <c r="A17" s="51"/>
      <c r="B17" s="53" t="s">
        <v>19</v>
      </c>
      <c r="C17" s="53"/>
      <c r="D17" s="53"/>
    </row>
    <row r="18" spans="1:4" x14ac:dyDescent="0.4">
      <c r="A18" s="51"/>
      <c r="B18" s="48"/>
      <c r="C18" s="2" t="s">
        <v>20</v>
      </c>
      <c r="D18" s="2" t="s">
        <v>21</v>
      </c>
    </row>
    <row r="19" spans="1:4" x14ac:dyDescent="0.4">
      <c r="A19" s="51"/>
      <c r="B19" s="50"/>
      <c r="C19" s="2" t="s">
        <v>22</v>
      </c>
      <c r="D19" s="2" t="s">
        <v>23</v>
      </c>
    </row>
    <row r="20" spans="1:4" x14ac:dyDescent="0.4">
      <c r="A20" s="51"/>
      <c r="B20" s="50"/>
      <c r="C20" s="2" t="s">
        <v>24</v>
      </c>
      <c r="D20" s="2" t="s">
        <v>25</v>
      </c>
    </row>
    <row r="21" spans="1:4" x14ac:dyDescent="0.4">
      <c r="A21" s="51"/>
      <c r="B21" s="49"/>
      <c r="C21" s="2" t="s">
        <v>26</v>
      </c>
      <c r="D21" s="2"/>
    </row>
    <row r="22" spans="1:4" x14ac:dyDescent="0.4">
      <c r="A22" s="51"/>
      <c r="B22" s="53" t="s">
        <v>27</v>
      </c>
      <c r="C22" s="53"/>
      <c r="D22" s="53"/>
    </row>
    <row r="23" spans="1:4" x14ac:dyDescent="0.4">
      <c r="A23" s="51"/>
      <c r="B23" s="48"/>
      <c r="C23" s="2" t="s">
        <v>28</v>
      </c>
      <c r="D23" s="2"/>
    </row>
    <row r="24" spans="1:4" x14ac:dyDescent="0.4">
      <c r="A24" s="51"/>
      <c r="B24" s="50"/>
      <c r="C24" s="2" t="s">
        <v>29</v>
      </c>
      <c r="D24" s="2"/>
    </row>
    <row r="25" spans="1:4" x14ac:dyDescent="0.4">
      <c r="A25" s="51"/>
      <c r="B25" s="49"/>
      <c r="C25" s="2" t="s">
        <v>30</v>
      </c>
      <c r="D25" s="2"/>
    </row>
    <row r="26" spans="1:4" x14ac:dyDescent="0.4">
      <c r="A26" s="52" t="s">
        <v>31</v>
      </c>
      <c r="B26" s="54" t="s">
        <v>32</v>
      </c>
      <c r="C26" s="54"/>
      <c r="D26" s="54"/>
    </row>
    <row r="27" spans="1:4" ht="33.6" x14ac:dyDescent="0.4">
      <c r="A27" s="52"/>
      <c r="B27" s="48"/>
      <c r="C27" s="6" t="s">
        <v>33</v>
      </c>
      <c r="D27" s="4" t="s">
        <v>34</v>
      </c>
    </row>
    <row r="28" spans="1:4" x14ac:dyDescent="0.4">
      <c r="A28" s="52"/>
      <c r="B28" s="50"/>
      <c r="C28" s="2" t="s">
        <v>35</v>
      </c>
      <c r="D28" s="2" t="s">
        <v>36</v>
      </c>
    </row>
    <row r="29" spans="1:4" x14ac:dyDescent="0.4">
      <c r="A29" s="52"/>
      <c r="B29" s="49"/>
      <c r="C29" s="2" t="s">
        <v>37</v>
      </c>
      <c r="D29" s="2" t="s">
        <v>38</v>
      </c>
    </row>
    <row r="30" spans="1:4" x14ac:dyDescent="0.4">
      <c r="A30" s="52"/>
      <c r="B30" s="54" t="s">
        <v>39</v>
      </c>
      <c r="C30" s="54"/>
      <c r="D30" s="54"/>
    </row>
    <row r="31" spans="1:4" x14ac:dyDescent="0.4">
      <c r="A31" s="52"/>
      <c r="B31" s="48"/>
      <c r="C31" s="2" t="s">
        <v>40</v>
      </c>
      <c r="D31" s="2" t="s">
        <v>41</v>
      </c>
    </row>
    <row r="32" spans="1:4" x14ac:dyDescent="0.4">
      <c r="A32" s="52"/>
      <c r="B32" s="50"/>
      <c r="C32" s="2" t="s">
        <v>42</v>
      </c>
      <c r="D32" s="2" t="s">
        <v>43</v>
      </c>
    </row>
    <row r="33" spans="1:4" x14ac:dyDescent="0.4">
      <c r="A33" s="52"/>
      <c r="B33" s="49"/>
      <c r="C33" s="2" t="s">
        <v>44</v>
      </c>
      <c r="D33" s="2" t="s">
        <v>45</v>
      </c>
    </row>
    <row r="34" spans="1:4" x14ac:dyDescent="0.4">
      <c r="A34" s="52"/>
      <c r="B34" s="54" t="s">
        <v>46</v>
      </c>
      <c r="C34" s="54"/>
      <c r="D34" s="54"/>
    </row>
    <row r="35" spans="1:4" x14ac:dyDescent="0.4">
      <c r="A35" s="52"/>
      <c r="B35" s="48"/>
      <c r="C35" s="2" t="s">
        <v>47</v>
      </c>
      <c r="D35" s="2" t="s">
        <v>48</v>
      </c>
    </row>
    <row r="36" spans="1:4" x14ac:dyDescent="0.4">
      <c r="A36" s="52"/>
      <c r="B36" s="50"/>
      <c r="C36" s="2" t="s">
        <v>49</v>
      </c>
      <c r="D36" s="2" t="s">
        <v>50</v>
      </c>
    </row>
    <row r="37" spans="1:4" x14ac:dyDescent="0.4">
      <c r="A37" s="52"/>
      <c r="B37" s="49"/>
      <c r="C37" s="2" t="s">
        <v>51</v>
      </c>
      <c r="D37" s="2" t="s">
        <v>52</v>
      </c>
    </row>
    <row r="38" spans="1:4" x14ac:dyDescent="0.4">
      <c r="A38" s="52"/>
      <c r="B38" s="54" t="s">
        <v>53</v>
      </c>
      <c r="C38" s="54"/>
      <c r="D38" s="54"/>
    </row>
    <row r="39" spans="1:4" x14ac:dyDescent="0.4">
      <c r="A39" s="52"/>
      <c r="B39" s="48"/>
      <c r="C39" s="2" t="s">
        <v>54</v>
      </c>
      <c r="D39" s="2" t="s">
        <v>55</v>
      </c>
    </row>
    <row r="40" spans="1:4" x14ac:dyDescent="0.4">
      <c r="A40" s="52"/>
      <c r="B40" s="50"/>
      <c r="C40" s="2" t="s">
        <v>56</v>
      </c>
      <c r="D40" s="2" t="s">
        <v>57</v>
      </c>
    </row>
    <row r="41" spans="1:4" x14ac:dyDescent="0.4">
      <c r="A41" s="52"/>
      <c r="B41" s="49"/>
      <c r="C41" s="2" t="s">
        <v>58</v>
      </c>
      <c r="D41" s="2" t="s">
        <v>59</v>
      </c>
    </row>
    <row r="42" spans="1:4" ht="16.8" customHeight="1" x14ac:dyDescent="0.4">
      <c r="A42" s="47" t="s">
        <v>60</v>
      </c>
      <c r="B42" s="55" t="s">
        <v>61</v>
      </c>
      <c r="C42" s="55"/>
      <c r="D42" s="55"/>
    </row>
    <row r="43" spans="1:4" x14ac:dyDescent="0.4">
      <c r="A43" s="47"/>
      <c r="B43" s="48"/>
      <c r="C43" s="2" t="s">
        <v>62</v>
      </c>
      <c r="D43" s="2"/>
    </row>
    <row r="44" spans="1:4" x14ac:dyDescent="0.4">
      <c r="A44" s="47"/>
      <c r="B44" s="50"/>
      <c r="C44" s="2" t="s">
        <v>63</v>
      </c>
      <c r="D44" s="2"/>
    </row>
    <row r="45" spans="1:4" x14ac:dyDescent="0.4">
      <c r="A45" s="47"/>
      <c r="B45" s="50"/>
      <c r="C45" s="2" t="s">
        <v>64</v>
      </c>
      <c r="D45" s="2"/>
    </row>
    <row r="46" spans="1:4" x14ac:dyDescent="0.4">
      <c r="A46" s="47"/>
      <c r="B46" s="50"/>
      <c r="C46" s="2" t="s">
        <v>65</v>
      </c>
      <c r="D46" s="2"/>
    </row>
    <row r="47" spans="1:4" ht="33.6" x14ac:dyDescent="0.4">
      <c r="A47" s="47"/>
      <c r="B47" s="50"/>
      <c r="C47" s="4" t="s">
        <v>66</v>
      </c>
      <c r="D47" s="2"/>
    </row>
    <row r="48" spans="1:4" x14ac:dyDescent="0.4">
      <c r="A48" s="47"/>
      <c r="B48" s="49"/>
      <c r="C48" s="2" t="s">
        <v>67</v>
      </c>
      <c r="D48" s="2" t="s">
        <v>68</v>
      </c>
    </row>
  </sheetData>
  <mergeCells count="23">
    <mergeCell ref="B42:D42"/>
    <mergeCell ref="B39:B41"/>
    <mergeCell ref="B35:B37"/>
    <mergeCell ref="B3:B5"/>
    <mergeCell ref="B7:B13"/>
    <mergeCell ref="B34:D34"/>
    <mergeCell ref="B38:D38"/>
    <mergeCell ref="A42:A48"/>
    <mergeCell ref="B15:B16"/>
    <mergeCell ref="B18:B21"/>
    <mergeCell ref="B23:B25"/>
    <mergeCell ref="B27:B29"/>
    <mergeCell ref="A2:A25"/>
    <mergeCell ref="A26:A41"/>
    <mergeCell ref="B2:D2"/>
    <mergeCell ref="B6:D6"/>
    <mergeCell ref="B14:D14"/>
    <mergeCell ref="B17:D17"/>
    <mergeCell ref="B26:D26"/>
    <mergeCell ref="B22:D22"/>
    <mergeCell ref="B30:D30"/>
    <mergeCell ref="B31:B33"/>
    <mergeCell ref="B43:B4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79EC-24CA-494D-A4AD-23892DFAAE35}">
  <dimension ref="A1:E11"/>
  <sheetViews>
    <sheetView showGridLines="0" zoomScale="70" zoomScaleNormal="70" workbookViewId="0">
      <selection activeCell="B5" sqref="B5"/>
    </sheetView>
  </sheetViews>
  <sheetFormatPr defaultRowHeight="16.8" x14ac:dyDescent="0.4"/>
  <cols>
    <col min="1" max="1" width="9.33203125" style="1" bestFit="1" customWidth="1"/>
    <col min="2" max="2" width="74.109375" style="9" bestFit="1" customWidth="1"/>
    <col min="3" max="3" width="107.109375" style="1" customWidth="1"/>
    <col min="4" max="4" width="92" style="1" customWidth="1"/>
    <col min="5" max="5" width="101.5546875" style="1" customWidth="1"/>
    <col min="6" max="16384" width="8.88671875" style="1"/>
  </cols>
  <sheetData>
    <row r="1" spans="1:5" x14ac:dyDescent="0.4">
      <c r="A1" s="10" t="s">
        <v>70</v>
      </c>
      <c r="B1" s="11" t="s">
        <v>71</v>
      </c>
      <c r="C1" s="10" t="s">
        <v>72</v>
      </c>
      <c r="D1" s="10" t="s">
        <v>73</v>
      </c>
      <c r="E1" s="10" t="s">
        <v>74</v>
      </c>
    </row>
    <row r="2" spans="1:5" x14ac:dyDescent="0.4">
      <c r="A2" s="58" t="s">
        <v>75</v>
      </c>
      <c r="B2" s="59"/>
      <c r="C2" s="59"/>
      <c r="D2" s="59"/>
      <c r="E2" s="59"/>
    </row>
    <row r="3" spans="1:5" s="8" customFormat="1" ht="33.6" x14ac:dyDescent="0.4">
      <c r="A3" s="14"/>
      <c r="B3" s="12" t="s">
        <v>5</v>
      </c>
      <c r="C3" s="4" t="s">
        <v>76</v>
      </c>
      <c r="D3" s="4" t="s">
        <v>77</v>
      </c>
      <c r="E3" s="4" t="s">
        <v>78</v>
      </c>
    </row>
    <row r="4" spans="1:5" s="8" customFormat="1" x14ac:dyDescent="0.4">
      <c r="A4" s="58" t="s">
        <v>79</v>
      </c>
      <c r="B4" s="59"/>
      <c r="C4" s="59"/>
      <c r="D4" s="59"/>
      <c r="E4" s="59"/>
    </row>
    <row r="5" spans="1:5" s="8" customFormat="1" ht="33.6" x14ac:dyDescent="0.4">
      <c r="A5" s="14"/>
      <c r="B5" s="12" t="s">
        <v>29</v>
      </c>
      <c r="C5" s="12" t="s">
        <v>80</v>
      </c>
      <c r="D5" s="4" t="s">
        <v>81</v>
      </c>
      <c r="E5" s="4" t="s">
        <v>82</v>
      </c>
    </row>
    <row r="6" spans="1:5" s="8" customFormat="1" x14ac:dyDescent="0.4">
      <c r="A6" s="60" t="s">
        <v>83</v>
      </c>
      <c r="B6" s="61"/>
      <c r="C6" s="61"/>
      <c r="D6" s="61"/>
      <c r="E6" s="61"/>
    </row>
    <row r="7" spans="1:5" s="8" customFormat="1" ht="33.6" x14ac:dyDescent="0.4">
      <c r="A7" s="14"/>
      <c r="B7" s="12" t="s">
        <v>40</v>
      </c>
      <c r="C7" s="4" t="s">
        <v>84</v>
      </c>
      <c r="D7" s="4" t="s">
        <v>85</v>
      </c>
      <c r="E7" s="4" t="s">
        <v>86</v>
      </c>
    </row>
    <row r="8" spans="1:5" s="8" customFormat="1" x14ac:dyDescent="0.4">
      <c r="A8" s="60" t="s">
        <v>83</v>
      </c>
      <c r="B8" s="61"/>
      <c r="C8" s="61"/>
      <c r="D8" s="61"/>
      <c r="E8" s="61"/>
    </row>
    <row r="9" spans="1:5" s="8" customFormat="1" ht="33.6" x14ac:dyDescent="0.4">
      <c r="A9" s="14"/>
      <c r="B9" s="12" t="s">
        <v>44</v>
      </c>
      <c r="C9" s="4" t="s">
        <v>87</v>
      </c>
      <c r="D9" s="4" t="s">
        <v>88</v>
      </c>
      <c r="E9" s="4" t="s">
        <v>89</v>
      </c>
    </row>
    <row r="10" spans="1:5" s="8" customFormat="1" x14ac:dyDescent="0.4">
      <c r="A10" s="62" t="s">
        <v>90</v>
      </c>
      <c r="B10" s="63"/>
      <c r="C10" s="63"/>
      <c r="D10" s="63"/>
      <c r="E10" s="63"/>
    </row>
    <row r="11" spans="1:5" s="8" customFormat="1" ht="33.6" x14ac:dyDescent="0.4">
      <c r="A11" s="14"/>
      <c r="B11" s="12" t="s">
        <v>66</v>
      </c>
      <c r="C11" s="4" t="s">
        <v>91</v>
      </c>
      <c r="D11" s="4" t="s">
        <v>92</v>
      </c>
      <c r="E11" s="4" t="s">
        <v>93</v>
      </c>
    </row>
  </sheetData>
  <mergeCells count="5">
    <mergeCell ref="A2:E2"/>
    <mergeCell ref="A4:E4"/>
    <mergeCell ref="A6:E6"/>
    <mergeCell ref="A8:E8"/>
    <mergeCell ref="A10:E10"/>
  </mergeCells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7021-34D6-4503-B915-13E6E2932754}">
  <dimension ref="A1:P23"/>
  <sheetViews>
    <sheetView zoomScaleNormal="100" workbookViewId="0">
      <selection activeCell="A2" sqref="A2"/>
    </sheetView>
  </sheetViews>
  <sheetFormatPr defaultRowHeight="16.8" x14ac:dyDescent="0.4"/>
  <cols>
    <col min="1" max="1" width="14.33203125" style="1" customWidth="1"/>
    <col min="2" max="2" width="9.44140625" style="1" customWidth="1"/>
    <col min="3" max="3" width="39.109375" style="1" customWidth="1"/>
    <col min="4" max="4" width="18.44140625" style="1" bestFit="1" customWidth="1"/>
    <col min="5" max="5" width="34.88671875" style="1" bestFit="1" customWidth="1"/>
    <col min="6" max="6" width="12.44140625" style="1" customWidth="1"/>
    <col min="7" max="7" width="18.33203125" style="1" bestFit="1" customWidth="1"/>
    <col min="8" max="8" width="20" style="1" bestFit="1" customWidth="1"/>
    <col min="9" max="9" width="16.21875" style="1" customWidth="1"/>
    <col min="10" max="10" width="18.33203125" style="1" bestFit="1" customWidth="1"/>
    <col min="11" max="11" width="22.109375" style="1" bestFit="1" customWidth="1"/>
    <col min="12" max="12" width="6.33203125" style="1" bestFit="1" customWidth="1"/>
    <col min="13" max="13" width="18.33203125" style="1" bestFit="1" customWidth="1"/>
    <col min="14" max="14" width="11" style="1" bestFit="1" customWidth="1"/>
    <col min="15" max="15" width="13" style="1" bestFit="1" customWidth="1"/>
    <col min="16" max="16" width="11.5546875" style="1" bestFit="1" customWidth="1"/>
    <col min="17" max="16384" width="8.88671875" style="1"/>
  </cols>
  <sheetData>
    <row r="1" spans="1:16" ht="27.6" x14ac:dyDescent="0.65">
      <c r="A1" s="38" t="s">
        <v>123</v>
      </c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</row>
    <row r="2" spans="1:16" ht="22.2" x14ac:dyDescent="0.55000000000000004">
      <c r="A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</row>
    <row r="3" spans="1:16" ht="22.2" x14ac:dyDescent="0.55000000000000004">
      <c r="A3" s="39" t="s">
        <v>156</v>
      </c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</row>
    <row r="4" spans="1:16" x14ac:dyDescent="0.4">
      <c r="A4" s="30" t="s">
        <v>0</v>
      </c>
      <c r="B4" s="30" t="s">
        <v>1</v>
      </c>
      <c r="C4" s="31" t="s">
        <v>94</v>
      </c>
      <c r="D4" s="15" t="s">
        <v>95</v>
      </c>
      <c r="E4" s="15" t="s">
        <v>96</v>
      </c>
      <c r="F4" s="15" t="s">
        <v>158</v>
      </c>
      <c r="G4" s="15" t="s">
        <v>98</v>
      </c>
      <c r="H4" s="15" t="s">
        <v>99</v>
      </c>
      <c r="I4" s="15" t="s">
        <v>159</v>
      </c>
      <c r="J4" s="15" t="s">
        <v>98</v>
      </c>
      <c r="K4" s="15" t="s">
        <v>100</v>
      </c>
      <c r="L4" s="15" t="s">
        <v>97</v>
      </c>
      <c r="M4" s="15" t="s">
        <v>98</v>
      </c>
      <c r="N4" s="15" t="s">
        <v>101</v>
      </c>
      <c r="O4" s="15" t="s">
        <v>102</v>
      </c>
      <c r="P4" s="15" t="s">
        <v>103</v>
      </c>
    </row>
    <row r="5" spans="1:16" x14ac:dyDescent="0.4">
      <c r="A5" s="32" t="s">
        <v>153</v>
      </c>
      <c r="B5" s="33" t="s">
        <v>143</v>
      </c>
      <c r="C5" s="34" t="s">
        <v>148</v>
      </c>
      <c r="D5" s="2" t="s">
        <v>120</v>
      </c>
      <c r="E5" s="2" t="s">
        <v>105</v>
      </c>
      <c r="F5" s="2">
        <f>IFERROR(VLOOKUP(E5,'Assignment Table'!$A$1:$B$6,2,FALSE),"")</f>
        <v>3</v>
      </c>
      <c r="G5" s="2">
        <f>IF(OR(F5="", N5=""), "", F5*N5)</f>
        <v>3</v>
      </c>
      <c r="H5" s="2" t="s">
        <v>105</v>
      </c>
      <c r="I5" s="2">
        <f>IFERROR(VLOOKUP(H5,'Assignment Table'!$A$1:$B$6,2,FALSE),"")</f>
        <v>3</v>
      </c>
      <c r="J5" s="2">
        <f>IF(OR(I5="", N5=""), "", I5*N5)</f>
        <v>3</v>
      </c>
      <c r="K5" s="2" t="s">
        <v>107</v>
      </c>
      <c r="L5" s="2">
        <f>IFERROR(VLOOKUP(K5,'Assignment Table'!$A$1:$K$6,2,FALSE),"")</f>
        <v>2</v>
      </c>
      <c r="M5" s="2">
        <f>IF(OR(L5="", N5=""), "", L5*N5)</f>
        <v>2</v>
      </c>
      <c r="N5" s="2">
        <v>1</v>
      </c>
      <c r="O5" s="2">
        <f>IF(OR(F5="", I5="", L5="", N5=""), "", IF(F5*I5*L5*N5=0, F5*I5*N5, F5*I5*L5*N5))</f>
        <v>18</v>
      </c>
      <c r="P5" s="5" t="str">
        <f>IF(OR(O5=""), "", IF(O5&gt;=1.5, "yes", "no"))</f>
        <v>yes</v>
      </c>
    </row>
    <row r="6" spans="1:16" ht="33.6" x14ac:dyDescent="0.4">
      <c r="A6" s="26" t="s">
        <v>153</v>
      </c>
      <c r="B6" s="27" t="s">
        <v>144</v>
      </c>
      <c r="C6" s="4" t="s">
        <v>149</v>
      </c>
      <c r="D6" s="21" t="s">
        <v>122</v>
      </c>
      <c r="E6" s="21" t="s">
        <v>107</v>
      </c>
      <c r="F6" s="21">
        <f>IFERROR(VLOOKUP(E6,'Assignment Table'!$A$1:$B$6,2,FALSE),"")</f>
        <v>2</v>
      </c>
      <c r="G6" s="21">
        <f>IF(OR(F6="", N6=""), "", F6*N6)</f>
        <v>1.2</v>
      </c>
      <c r="H6" s="21" t="s">
        <v>105</v>
      </c>
      <c r="I6" s="21">
        <f>IFERROR(VLOOKUP(H6,'Assignment Table'!$A$1:$B$6,2,FALSE),"")</f>
        <v>3</v>
      </c>
      <c r="J6" s="21">
        <f>IF(OR(I6="", N6=""), "", I6*N6)</f>
        <v>1.7999999999999998</v>
      </c>
      <c r="K6" s="21" t="s">
        <v>105</v>
      </c>
      <c r="L6" s="21">
        <f>IFERROR(VLOOKUP(K6,'Assignment Table'!$A$1:$K$6,2,FALSE),"")</f>
        <v>3</v>
      </c>
      <c r="M6" s="21">
        <f>IF(OR(L6="", N6=""), "", L6*N6)</f>
        <v>1.7999999999999998</v>
      </c>
      <c r="N6" s="21">
        <v>0.6</v>
      </c>
      <c r="O6" s="21">
        <f>IF(OR(F6="", I6="", L6="", N6=""), "", IF(F6*I6*L6*N6=0, F6*I6*N6, F6*I6*L6*N6))</f>
        <v>10.799999999999999</v>
      </c>
      <c r="P6" s="7" t="str">
        <f>IF(OR(O6=""), "", IF(O6&gt;=1.5, "yes", "no"))</f>
        <v>yes</v>
      </c>
    </row>
    <row r="7" spans="1:16" x14ac:dyDescent="0.4">
      <c r="A7" s="28" t="s">
        <v>154</v>
      </c>
      <c r="B7" s="27" t="s">
        <v>145</v>
      </c>
      <c r="C7" s="2" t="s">
        <v>150</v>
      </c>
      <c r="D7" s="2" t="s">
        <v>119</v>
      </c>
      <c r="E7" s="2" t="s">
        <v>105</v>
      </c>
      <c r="F7" s="2">
        <f>IFERROR(VLOOKUP(E7,'Assignment Table'!$A$1:$B$6,2,FALSE),"")</f>
        <v>3</v>
      </c>
      <c r="G7" s="2">
        <f>IF(OR(F7="", N7=""), "", F7*N7)</f>
        <v>3</v>
      </c>
      <c r="H7" s="2" t="s">
        <v>105</v>
      </c>
      <c r="I7" s="2">
        <f>IFERROR(VLOOKUP(H7,'Assignment Table'!$A$1:$B$6,2,FALSE),"")</f>
        <v>3</v>
      </c>
      <c r="J7" s="2">
        <f>IF(OR(I7="", N7=""), "", I7*N7)</f>
        <v>3</v>
      </c>
      <c r="K7" s="2" t="s">
        <v>106</v>
      </c>
      <c r="L7" s="2">
        <f>IFERROR(VLOOKUP(K7,'Assignment Table'!$A$1:$K$6,2,FALSE),"")</f>
        <v>0</v>
      </c>
      <c r="M7" s="2">
        <f>IF(OR(L7="", N7=""), "", L7*N7)</f>
        <v>0</v>
      </c>
      <c r="N7" s="2">
        <v>1</v>
      </c>
      <c r="O7" s="2">
        <f>IF(OR(F7="", I7="", L7="", N7=""), "", IF(F7*I7*L7*N7=0, F7*I7*N7, F7*I7*L7*N7))</f>
        <v>9</v>
      </c>
      <c r="P7" s="5" t="str">
        <f>IF(OR(O7=""), "", IF(O7&gt;=1.5, "yes", "no"))</f>
        <v>yes</v>
      </c>
    </row>
    <row r="8" spans="1:16" x14ac:dyDescent="0.4">
      <c r="A8" s="28" t="s">
        <v>154</v>
      </c>
      <c r="B8" s="27" t="s">
        <v>146</v>
      </c>
      <c r="C8" s="2" t="s">
        <v>151</v>
      </c>
      <c r="D8" s="2" t="s">
        <v>119</v>
      </c>
      <c r="E8" s="2" t="s">
        <v>105</v>
      </c>
      <c r="F8" s="2">
        <f>IFERROR(VLOOKUP(E8,'Assignment Table'!$A$1:$B$6,2,FALSE),"")</f>
        <v>3</v>
      </c>
      <c r="G8" s="2">
        <f>IF(OR(F8="", N8=""), "", F8*N8)</f>
        <v>3</v>
      </c>
      <c r="H8" s="2" t="s">
        <v>107</v>
      </c>
      <c r="I8" s="2">
        <f>IFERROR(VLOOKUP(H8,'Assignment Table'!$A$1:$B$6,2,FALSE),"")</f>
        <v>2</v>
      </c>
      <c r="J8" s="2">
        <f>IF(OR(I8="", N8=""), "", I8*N8)</f>
        <v>2</v>
      </c>
      <c r="K8" s="2" t="s">
        <v>106</v>
      </c>
      <c r="L8" s="2">
        <f>IFERROR(VLOOKUP(K8,'Assignment Table'!$A$1:$K$6,2,FALSE),"")</f>
        <v>0</v>
      </c>
      <c r="M8" s="2">
        <f>IF(OR(L8="", N8=""), "", L8*N8)</f>
        <v>0</v>
      </c>
      <c r="N8" s="2">
        <v>1</v>
      </c>
      <c r="O8" s="2">
        <f>IF(OR(F8="", I8="", L8="", N8=""), "", IF(F8*I8*L8*N8=0, F8*I8*N8, F8*I8*L8*N8))</f>
        <v>6</v>
      </c>
      <c r="P8" s="5" t="str">
        <f>IF(OR(O8=""), "", IF(O8&gt;=1.5, "yes", "no"))</f>
        <v>yes</v>
      </c>
    </row>
    <row r="9" spans="1:16" ht="33.6" x14ac:dyDescent="0.4">
      <c r="A9" s="29" t="s">
        <v>155</v>
      </c>
      <c r="B9" s="27" t="s">
        <v>147</v>
      </c>
      <c r="C9" s="20" t="s">
        <v>152</v>
      </c>
      <c r="D9" s="21" t="s">
        <v>119</v>
      </c>
      <c r="E9" s="21" t="s">
        <v>105</v>
      </c>
      <c r="F9" s="21">
        <f>IFERROR(VLOOKUP(E9,'Assignment Table'!$A$1:$B$6,2,FALSE),"")</f>
        <v>3</v>
      </c>
      <c r="G9" s="21">
        <f>IF(OR(F9="", N9=""), "", F9*N9)</f>
        <v>3</v>
      </c>
      <c r="H9" s="21" t="s">
        <v>107</v>
      </c>
      <c r="I9" s="21">
        <f>IFERROR(VLOOKUP(H9,'Assignment Table'!$A$1:$B$6,2,FALSE),"")</f>
        <v>2</v>
      </c>
      <c r="J9" s="21">
        <f>IF(OR(I9="", N9=""), "", I9*N9)</f>
        <v>2</v>
      </c>
      <c r="K9" s="21" t="s">
        <v>106</v>
      </c>
      <c r="L9" s="21">
        <f>IFERROR(VLOOKUP(K9,'Assignment Table'!$A$1:$K$6,2,FALSE),"")</f>
        <v>0</v>
      </c>
      <c r="M9" s="21">
        <f>IF(OR(L9="", N9=""), "", L9*N9)</f>
        <v>0</v>
      </c>
      <c r="N9" s="21">
        <v>1</v>
      </c>
      <c r="O9" s="21">
        <f>IF(OR(F9="", I9="", L9="", N9=""), "", IF(F9*I9*L9*N9=0, F9*I9*N9, F9*I9*L9*N9))</f>
        <v>6</v>
      </c>
      <c r="P9" s="7" t="str">
        <f>IF(OR(O9=""), "", IF(O9&gt;=1.5, "yes", "no"))</f>
        <v>yes</v>
      </c>
    </row>
    <row r="10" spans="1:16" x14ac:dyDescent="0.4">
      <c r="C10" s="40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2"/>
    </row>
    <row r="12" spans="1:16" ht="22.2" x14ac:dyDescent="0.55000000000000004">
      <c r="A12" s="39" t="s">
        <v>157</v>
      </c>
    </row>
    <row r="13" spans="1:16" x14ac:dyDescent="0.4">
      <c r="A13" s="10" t="s">
        <v>0</v>
      </c>
      <c r="B13" s="10" t="s">
        <v>1</v>
      </c>
      <c r="C13" s="31" t="s">
        <v>108</v>
      </c>
      <c r="D13" s="31"/>
      <c r="E13" s="31" t="s">
        <v>109</v>
      </c>
      <c r="F13" s="15" t="s">
        <v>158</v>
      </c>
      <c r="G13" s="31"/>
      <c r="H13" s="31" t="s">
        <v>110</v>
      </c>
      <c r="I13" s="31" t="s">
        <v>160</v>
      </c>
      <c r="J13" s="31"/>
      <c r="K13" s="31"/>
      <c r="L13" s="31"/>
      <c r="M13" s="31"/>
      <c r="N13" s="31"/>
      <c r="O13" s="31" t="s">
        <v>161</v>
      </c>
      <c r="P13" s="31" t="s">
        <v>103</v>
      </c>
    </row>
    <row r="14" spans="1:16" x14ac:dyDescent="0.4">
      <c r="A14" s="32" t="s">
        <v>153</v>
      </c>
      <c r="B14" s="27" t="s">
        <v>143</v>
      </c>
      <c r="C14" s="35" t="s">
        <v>133</v>
      </c>
      <c r="D14" s="22" t="s">
        <v>131</v>
      </c>
      <c r="E14" s="16" t="s">
        <v>111</v>
      </c>
      <c r="F14" s="2">
        <f>IFERROR(VLOOKUP(E14,'Assignment Table'!$H$3:$I$9,2,FALSE),"")</f>
        <v>4</v>
      </c>
      <c r="G14" s="22" t="s">
        <v>131</v>
      </c>
      <c r="H14" s="2" t="s">
        <v>107</v>
      </c>
      <c r="I14" s="2">
        <f>IFERROR(VLOOKUP(H14,'Assignment Table'!$K$3:$L$9,2,FALSE),"")</f>
        <v>5</v>
      </c>
      <c r="J14" s="22" t="s">
        <v>131</v>
      </c>
      <c r="K14" s="22" t="s">
        <v>131</v>
      </c>
      <c r="L14" s="22" t="s">
        <v>131</v>
      </c>
      <c r="M14" s="22" t="s">
        <v>131</v>
      </c>
      <c r="N14" s="22" t="s">
        <v>131</v>
      </c>
      <c r="O14" s="2">
        <f t="shared" ref="O14:O23" si="0">IF(OR(F14="", I14=""), "", F14*I14)</f>
        <v>20</v>
      </c>
      <c r="P14" s="5" t="str">
        <f t="shared" ref="P14:P23" si="1">IF(OR(F14="", I14=""), "", IF(F14*I14 &gt;=20, "yes", IF(F14*I14 &lt;20, "no", "")))</f>
        <v>yes</v>
      </c>
    </row>
    <row r="15" spans="1:16" x14ac:dyDescent="0.4">
      <c r="A15" s="26" t="s">
        <v>153</v>
      </c>
      <c r="B15" s="27" t="s">
        <v>143</v>
      </c>
      <c r="C15" s="35" t="s">
        <v>134</v>
      </c>
      <c r="D15" s="22" t="s">
        <v>131</v>
      </c>
      <c r="E15" s="16" t="s">
        <v>112</v>
      </c>
      <c r="F15" s="2">
        <f>IFERROR(VLOOKUP(E15,'Assignment Table'!$H$3:$I$9,2,FALSE),"")</f>
        <v>5</v>
      </c>
      <c r="G15" s="22" t="s">
        <v>131</v>
      </c>
      <c r="H15" s="2" t="s">
        <v>105</v>
      </c>
      <c r="I15" s="2">
        <f>IFERROR(VLOOKUP(H15,'Assignment Table'!$K$3:$L$9,2,FALSE),"")</f>
        <v>6</v>
      </c>
      <c r="J15" s="22" t="s">
        <v>131</v>
      </c>
      <c r="K15" s="22" t="s">
        <v>131</v>
      </c>
      <c r="L15" s="22" t="s">
        <v>131</v>
      </c>
      <c r="M15" s="22" t="s">
        <v>131</v>
      </c>
      <c r="N15" s="22" t="s">
        <v>131</v>
      </c>
      <c r="O15" s="2">
        <f t="shared" si="0"/>
        <v>30</v>
      </c>
      <c r="P15" s="5" t="str">
        <f t="shared" si="1"/>
        <v>yes</v>
      </c>
    </row>
    <row r="16" spans="1:16" x14ac:dyDescent="0.4">
      <c r="A16" s="32" t="s">
        <v>153</v>
      </c>
      <c r="B16" s="27" t="s">
        <v>144</v>
      </c>
      <c r="C16" s="35" t="s">
        <v>141</v>
      </c>
      <c r="D16" s="22" t="s">
        <v>131</v>
      </c>
      <c r="E16" s="16" t="s">
        <v>112</v>
      </c>
      <c r="F16" s="2">
        <f>IFERROR(VLOOKUP(E16,'Assignment Table'!$H$3:$I$9,2,FALSE),"")</f>
        <v>5</v>
      </c>
      <c r="G16" s="22" t="s">
        <v>131</v>
      </c>
      <c r="H16" s="2" t="s">
        <v>107</v>
      </c>
      <c r="I16" s="2">
        <f>IFERROR(VLOOKUP(H16,'Assignment Table'!$K$3:$L$9,2,FALSE),"")</f>
        <v>5</v>
      </c>
      <c r="J16" s="22" t="s">
        <v>131</v>
      </c>
      <c r="K16" s="22" t="s">
        <v>131</v>
      </c>
      <c r="L16" s="22" t="s">
        <v>131</v>
      </c>
      <c r="M16" s="22" t="s">
        <v>131</v>
      </c>
      <c r="N16" s="22" t="s">
        <v>131</v>
      </c>
      <c r="O16" s="2">
        <f t="shared" si="0"/>
        <v>25</v>
      </c>
      <c r="P16" s="5" t="str">
        <f t="shared" si="1"/>
        <v>yes</v>
      </c>
    </row>
    <row r="17" spans="1:16" x14ac:dyDescent="0.4">
      <c r="A17" s="26" t="s">
        <v>153</v>
      </c>
      <c r="B17" s="27" t="s">
        <v>144</v>
      </c>
      <c r="C17" s="35" t="s">
        <v>142</v>
      </c>
      <c r="D17" s="22" t="s">
        <v>131</v>
      </c>
      <c r="E17" s="16" t="s">
        <v>111</v>
      </c>
      <c r="F17" s="2">
        <f>IFERROR(VLOOKUP(E17,'Assignment Table'!$H$3:$I$9,2,FALSE),"")</f>
        <v>4</v>
      </c>
      <c r="G17" s="22" t="s">
        <v>131</v>
      </c>
      <c r="H17" s="2" t="s">
        <v>105</v>
      </c>
      <c r="I17" s="2">
        <f>IFERROR(VLOOKUP(H17,'Assignment Table'!$K$3:$L$9,2,FALSE),"")</f>
        <v>6</v>
      </c>
      <c r="J17" s="22" t="s">
        <v>131</v>
      </c>
      <c r="K17" s="22" t="s">
        <v>131</v>
      </c>
      <c r="L17" s="22" t="s">
        <v>131</v>
      </c>
      <c r="M17" s="22" t="s">
        <v>131</v>
      </c>
      <c r="N17" s="22" t="s">
        <v>131</v>
      </c>
      <c r="O17" s="2">
        <f t="shared" si="0"/>
        <v>24</v>
      </c>
      <c r="P17" s="5" t="str">
        <f t="shared" si="1"/>
        <v>yes</v>
      </c>
    </row>
    <row r="18" spans="1:16" x14ac:dyDescent="0.4">
      <c r="A18" s="28" t="s">
        <v>154</v>
      </c>
      <c r="B18" s="27" t="s">
        <v>145</v>
      </c>
      <c r="C18" s="35" t="s">
        <v>135</v>
      </c>
      <c r="D18" s="22" t="s">
        <v>131</v>
      </c>
      <c r="E18" s="16" t="s">
        <v>111</v>
      </c>
      <c r="F18" s="2">
        <f>IFERROR(VLOOKUP(E18,'Assignment Table'!$H$3:$I$9,2,FALSE),"")</f>
        <v>4</v>
      </c>
      <c r="G18" s="22" t="s">
        <v>131</v>
      </c>
      <c r="H18" s="2" t="s">
        <v>107</v>
      </c>
      <c r="I18" s="2">
        <f>IFERROR(VLOOKUP(H18,'Assignment Table'!$K$3:$L$9,2,FALSE),"")</f>
        <v>5</v>
      </c>
      <c r="J18" s="22" t="s">
        <v>131</v>
      </c>
      <c r="K18" s="22" t="s">
        <v>131</v>
      </c>
      <c r="L18" s="22" t="s">
        <v>131</v>
      </c>
      <c r="M18" s="22" t="s">
        <v>131</v>
      </c>
      <c r="N18" s="22" t="s">
        <v>131</v>
      </c>
      <c r="O18" s="2">
        <f t="shared" si="0"/>
        <v>20</v>
      </c>
      <c r="P18" s="5" t="str">
        <f t="shared" si="1"/>
        <v>yes</v>
      </c>
    </row>
    <row r="19" spans="1:16" x14ac:dyDescent="0.4">
      <c r="A19" s="28" t="s">
        <v>154</v>
      </c>
      <c r="B19" s="27" t="s">
        <v>145</v>
      </c>
      <c r="C19" s="35" t="s">
        <v>136</v>
      </c>
      <c r="D19" s="22" t="s">
        <v>131</v>
      </c>
      <c r="E19" s="16" t="s">
        <v>111</v>
      </c>
      <c r="F19" s="2">
        <f>IFERROR(VLOOKUP(E19,'Assignment Table'!$H$3:$I$9,2,FALSE),"")</f>
        <v>4</v>
      </c>
      <c r="G19" s="22" t="s">
        <v>131</v>
      </c>
      <c r="H19" s="2" t="s">
        <v>107</v>
      </c>
      <c r="I19" s="2">
        <f>IFERROR(VLOOKUP(H19,'Assignment Table'!$K$3:$L$9,2,FALSE),"")</f>
        <v>5</v>
      </c>
      <c r="J19" s="22" t="s">
        <v>131</v>
      </c>
      <c r="K19" s="22" t="s">
        <v>131</v>
      </c>
      <c r="L19" s="22" t="s">
        <v>131</v>
      </c>
      <c r="M19" s="22" t="s">
        <v>131</v>
      </c>
      <c r="N19" s="22" t="s">
        <v>131</v>
      </c>
      <c r="O19" s="2">
        <f t="shared" si="0"/>
        <v>20</v>
      </c>
      <c r="P19" s="5" t="str">
        <f t="shared" si="1"/>
        <v>yes</v>
      </c>
    </row>
    <row r="20" spans="1:16" x14ac:dyDescent="0.4">
      <c r="A20" s="28" t="s">
        <v>154</v>
      </c>
      <c r="B20" s="27" t="s">
        <v>146</v>
      </c>
      <c r="C20" s="35" t="s">
        <v>138</v>
      </c>
      <c r="D20" s="22" t="s">
        <v>131</v>
      </c>
      <c r="E20" s="16" t="s">
        <v>112</v>
      </c>
      <c r="F20" s="2">
        <f>IFERROR(VLOOKUP(E20,'Assignment Table'!$H$3:$I$9,2,FALSE),"")</f>
        <v>5</v>
      </c>
      <c r="G20" s="22" t="s">
        <v>131</v>
      </c>
      <c r="H20" s="2" t="s">
        <v>107</v>
      </c>
      <c r="I20" s="2">
        <f>IFERROR(VLOOKUP(H20,'Assignment Table'!$K$3:$L$9,2,FALSE),"")</f>
        <v>5</v>
      </c>
      <c r="J20" s="22" t="s">
        <v>131</v>
      </c>
      <c r="K20" s="22" t="s">
        <v>131</v>
      </c>
      <c r="L20" s="22" t="s">
        <v>131</v>
      </c>
      <c r="M20" s="22" t="s">
        <v>131</v>
      </c>
      <c r="N20" s="22" t="s">
        <v>131</v>
      </c>
      <c r="O20" s="2">
        <f t="shared" si="0"/>
        <v>25</v>
      </c>
      <c r="P20" s="5" t="str">
        <f t="shared" si="1"/>
        <v>yes</v>
      </c>
    </row>
    <row r="21" spans="1:16" x14ac:dyDescent="0.4">
      <c r="A21" s="28" t="s">
        <v>154</v>
      </c>
      <c r="B21" s="27" t="s">
        <v>146</v>
      </c>
      <c r="C21" s="35" t="s">
        <v>137</v>
      </c>
      <c r="D21" s="22" t="s">
        <v>131</v>
      </c>
      <c r="E21" s="16" t="s">
        <v>112</v>
      </c>
      <c r="F21" s="2">
        <f>IFERROR(VLOOKUP(E21,'Assignment Table'!$H$3:$I$9,2,FALSE),"")</f>
        <v>5</v>
      </c>
      <c r="G21" s="22" t="s">
        <v>131</v>
      </c>
      <c r="H21" s="2" t="s">
        <v>105</v>
      </c>
      <c r="I21" s="2">
        <f>IFERROR(VLOOKUP(H21,'Assignment Table'!$K$3:$L$9,2,FALSE),"")</f>
        <v>6</v>
      </c>
      <c r="J21" s="22" t="s">
        <v>131</v>
      </c>
      <c r="K21" s="22" t="s">
        <v>131</v>
      </c>
      <c r="L21" s="22" t="s">
        <v>131</v>
      </c>
      <c r="M21" s="22" t="s">
        <v>131</v>
      </c>
      <c r="N21" s="22" t="s">
        <v>131</v>
      </c>
      <c r="O21" s="2">
        <f t="shared" si="0"/>
        <v>30</v>
      </c>
      <c r="P21" s="5" t="str">
        <f t="shared" si="1"/>
        <v>yes</v>
      </c>
    </row>
    <row r="22" spans="1:16" x14ac:dyDescent="0.4">
      <c r="A22" s="29" t="s">
        <v>155</v>
      </c>
      <c r="B22" s="27" t="s">
        <v>147</v>
      </c>
      <c r="C22" s="36" t="s">
        <v>139</v>
      </c>
      <c r="D22" s="23" t="s">
        <v>131</v>
      </c>
      <c r="E22" s="25" t="s">
        <v>111</v>
      </c>
      <c r="F22" s="24">
        <f>IFERROR(VLOOKUP(E22,'Assignment Table'!$H$3:$I$9,2,FALSE),"")</f>
        <v>4</v>
      </c>
      <c r="G22" s="23" t="s">
        <v>131</v>
      </c>
      <c r="H22" s="6" t="s">
        <v>107</v>
      </c>
      <c r="I22" s="24">
        <f>IFERROR(VLOOKUP(H22,'Assignment Table'!$K$3:$L$9,2,FALSE),"")</f>
        <v>5</v>
      </c>
      <c r="J22" s="23" t="s">
        <v>131</v>
      </c>
      <c r="K22" s="23" t="s">
        <v>131</v>
      </c>
      <c r="L22" s="23" t="s">
        <v>131</v>
      </c>
      <c r="M22" s="23" t="s">
        <v>131</v>
      </c>
      <c r="N22" s="23" t="s">
        <v>131</v>
      </c>
      <c r="O22" s="24">
        <f t="shared" si="0"/>
        <v>20</v>
      </c>
      <c r="P22" s="7" t="str">
        <f t="shared" si="1"/>
        <v>yes</v>
      </c>
    </row>
    <row r="23" spans="1:16" x14ac:dyDescent="0.4">
      <c r="A23" s="29" t="s">
        <v>155</v>
      </c>
      <c r="B23" s="27" t="s">
        <v>147</v>
      </c>
      <c r="C23" s="36" t="s">
        <v>140</v>
      </c>
      <c r="D23" s="23" t="s">
        <v>131</v>
      </c>
      <c r="E23" s="25" t="s">
        <v>112</v>
      </c>
      <c r="F23" s="24">
        <f>IFERROR(VLOOKUP(E23,'Assignment Table'!$H$3:$I$9,2,FALSE),"")</f>
        <v>5</v>
      </c>
      <c r="G23" s="23" t="s">
        <v>131</v>
      </c>
      <c r="H23" s="6" t="s">
        <v>107</v>
      </c>
      <c r="I23" s="24">
        <f>IFERROR(VLOOKUP(H23,'Assignment Table'!$K$3:$L$9,2,FALSE),"")</f>
        <v>5</v>
      </c>
      <c r="J23" s="23" t="s">
        <v>131</v>
      </c>
      <c r="K23" s="23" t="s">
        <v>131</v>
      </c>
      <c r="L23" s="23" t="s">
        <v>131</v>
      </c>
      <c r="M23" s="23" t="s">
        <v>131</v>
      </c>
      <c r="N23" s="23" t="s">
        <v>131</v>
      </c>
      <c r="O23" s="24">
        <f t="shared" si="0"/>
        <v>25</v>
      </c>
      <c r="P23" s="7" t="str">
        <f t="shared" si="1"/>
        <v>yes</v>
      </c>
    </row>
  </sheetData>
  <dataConsolidate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0ABC566-041B-4BD4-B6D5-34AEA85927DD}">
          <x14:formula1>
            <xm:f>'Assignment Table'!$A$3:$A$6</xm:f>
          </x14:formula1>
          <xm:sqref>H5:H10 K5:K10 E5:E10</xm:sqref>
        </x14:dataValidation>
        <x14:dataValidation type="list" allowBlank="1" showInputMessage="1" showErrorMessage="1" xr:uid="{31F76178-14DE-4206-9301-7097E16E8E5F}">
          <x14:formula1>
            <xm:f>'Assignment Table'!$F$2:$F$5</xm:f>
          </x14:formula1>
          <xm:sqref>D5:D10</xm:sqref>
        </x14:dataValidation>
        <x14:dataValidation type="list" allowBlank="1" showInputMessage="1" showErrorMessage="1" xr:uid="{72354B80-2DA3-4C33-9603-94B90D114F0A}">
          <x14:formula1>
            <xm:f>'Assignment Table'!$D$2:$D$11</xm:f>
          </x14:formula1>
          <xm:sqref>N5:N10</xm:sqref>
        </x14:dataValidation>
        <x14:dataValidation type="list" allowBlank="1" showInputMessage="1" showErrorMessage="1" xr:uid="{89C6BC61-F304-453C-AF2D-6624812AA288}">
          <x14:formula1>
            <xm:f>'Assignment Table'!$H$3:$H$9</xm:f>
          </x14:formula1>
          <xm:sqref>E14:E23</xm:sqref>
        </x14:dataValidation>
        <x14:dataValidation type="list" allowBlank="1" showInputMessage="1" showErrorMessage="1" xr:uid="{85A8FD14-562B-4570-AC7C-B6CB93226C71}">
          <x14:formula1>
            <xm:f>'Assignment Table'!$K$3:$K$9</xm:f>
          </x14:formula1>
          <xm:sqref>H14:H23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9EB1-392C-480C-B8B5-28143FF76CB9}">
  <dimension ref="A1:L11"/>
  <sheetViews>
    <sheetView workbookViewId="0">
      <selection sqref="A1:B1"/>
    </sheetView>
  </sheetViews>
  <sheetFormatPr defaultRowHeight="14.4" x14ac:dyDescent="0.3"/>
  <cols>
    <col min="1" max="1" width="11.6640625" customWidth="1"/>
    <col min="2" max="2" width="11.21875" customWidth="1"/>
    <col min="4" max="4" width="9.88671875" bestFit="1" customWidth="1"/>
    <col min="6" max="6" width="16.5546875" bestFit="1" customWidth="1"/>
    <col min="8" max="8" width="33.88671875" customWidth="1"/>
    <col min="9" max="9" width="16.109375" bestFit="1" customWidth="1"/>
    <col min="11" max="11" width="21.5546875" customWidth="1"/>
    <col min="12" max="12" width="20.33203125" customWidth="1"/>
  </cols>
  <sheetData>
    <row r="1" spans="1:12" x14ac:dyDescent="0.3">
      <c r="A1" s="64" t="s">
        <v>124</v>
      </c>
      <c r="B1" s="64"/>
      <c r="D1" s="16" t="s">
        <v>101</v>
      </c>
      <c r="F1" s="16" t="s">
        <v>95</v>
      </c>
      <c r="H1" s="65" t="s">
        <v>132</v>
      </c>
      <c r="I1" s="66"/>
      <c r="K1" s="65" t="s">
        <v>130</v>
      </c>
      <c r="L1" s="66"/>
    </row>
    <row r="2" spans="1:12" x14ac:dyDescent="0.3">
      <c r="A2" s="16" t="s">
        <v>126</v>
      </c>
      <c r="B2" s="16" t="s">
        <v>125</v>
      </c>
      <c r="D2" s="16">
        <v>0.1</v>
      </c>
      <c r="F2" s="16" t="s">
        <v>119</v>
      </c>
      <c r="H2" s="18" t="s">
        <v>127</v>
      </c>
      <c r="I2" s="18" t="s">
        <v>128</v>
      </c>
      <c r="J2" s="19"/>
      <c r="K2" s="18" t="s">
        <v>127</v>
      </c>
      <c r="L2" s="18" t="s">
        <v>128</v>
      </c>
    </row>
    <row r="3" spans="1:12" x14ac:dyDescent="0.3">
      <c r="A3" s="16" t="s">
        <v>106</v>
      </c>
      <c r="B3" s="16">
        <v>0</v>
      </c>
      <c r="D3" s="16">
        <v>0.2</v>
      </c>
      <c r="F3" s="16" t="s">
        <v>120</v>
      </c>
      <c r="H3" s="17" t="s">
        <v>106</v>
      </c>
      <c r="I3" s="17">
        <v>1</v>
      </c>
      <c r="K3" s="17" t="s">
        <v>106</v>
      </c>
      <c r="L3" s="17">
        <v>1</v>
      </c>
    </row>
    <row r="4" spans="1:12" x14ac:dyDescent="0.3">
      <c r="A4" s="16" t="s">
        <v>104</v>
      </c>
      <c r="B4" s="16">
        <v>1</v>
      </c>
      <c r="D4" s="16">
        <v>0.3</v>
      </c>
      <c r="F4" s="16" t="s">
        <v>121</v>
      </c>
      <c r="H4" s="17" t="s">
        <v>113</v>
      </c>
      <c r="I4" s="17">
        <v>2</v>
      </c>
      <c r="K4" s="17" t="s">
        <v>116</v>
      </c>
      <c r="L4" s="17">
        <v>2</v>
      </c>
    </row>
    <row r="5" spans="1:12" x14ac:dyDescent="0.3">
      <c r="A5" s="16" t="s">
        <v>107</v>
      </c>
      <c r="B5" s="16">
        <v>2</v>
      </c>
      <c r="D5" s="16">
        <v>0.4</v>
      </c>
      <c r="F5" s="16" t="s">
        <v>122</v>
      </c>
      <c r="H5" s="17" t="s">
        <v>114</v>
      </c>
      <c r="I5" s="17">
        <v>3</v>
      </c>
      <c r="K5" s="17" t="s">
        <v>104</v>
      </c>
      <c r="L5" s="17">
        <v>3</v>
      </c>
    </row>
    <row r="6" spans="1:12" x14ac:dyDescent="0.3">
      <c r="A6" s="16" t="s">
        <v>105</v>
      </c>
      <c r="B6" s="16">
        <v>3</v>
      </c>
      <c r="D6" s="16">
        <v>0.5</v>
      </c>
      <c r="H6" s="17" t="s">
        <v>111</v>
      </c>
      <c r="I6" s="17">
        <v>4</v>
      </c>
      <c r="K6" s="17" t="s">
        <v>115</v>
      </c>
      <c r="L6" s="17">
        <v>4</v>
      </c>
    </row>
    <row r="7" spans="1:12" x14ac:dyDescent="0.3">
      <c r="D7" s="16">
        <v>0.6</v>
      </c>
      <c r="H7" s="17" t="s">
        <v>112</v>
      </c>
      <c r="I7" s="17">
        <v>5</v>
      </c>
      <c r="K7" s="17" t="s">
        <v>107</v>
      </c>
      <c r="L7" s="17">
        <v>5</v>
      </c>
    </row>
    <row r="8" spans="1:12" x14ac:dyDescent="0.3">
      <c r="D8" s="16">
        <v>0.7</v>
      </c>
      <c r="H8" s="17" t="s">
        <v>117</v>
      </c>
      <c r="I8" s="17">
        <v>6</v>
      </c>
      <c r="K8" s="17" t="s">
        <v>105</v>
      </c>
      <c r="L8" s="17">
        <v>6</v>
      </c>
    </row>
    <row r="9" spans="1:12" x14ac:dyDescent="0.3">
      <c r="D9" s="16">
        <v>0.8</v>
      </c>
      <c r="H9" s="17" t="s">
        <v>118</v>
      </c>
      <c r="I9" s="17">
        <v>7</v>
      </c>
      <c r="K9" s="17" t="s">
        <v>129</v>
      </c>
      <c r="L9" s="17">
        <v>7</v>
      </c>
    </row>
    <row r="10" spans="1:12" x14ac:dyDescent="0.3">
      <c r="D10" s="16">
        <v>0.9</v>
      </c>
    </row>
    <row r="11" spans="1:12" x14ac:dyDescent="0.3">
      <c r="D11" s="16">
        <v>1</v>
      </c>
    </row>
  </sheetData>
  <mergeCells count="3">
    <mergeCell ref="A1:B1"/>
    <mergeCell ref="H1:I1"/>
    <mergeCell ref="K1:L1"/>
  </mergeCells>
  <conditionalFormatting sqref="H4:H9">
    <cfRule type="containsText" dxfId="5" priority="4" operator="containsText" text="hoch">
      <formula>NOT(ISERROR(SEARCH("hoch",H4)))</formula>
    </cfRule>
    <cfRule type="containsText" dxfId="4" priority="5" operator="containsText" text="mittel">
      <formula>NOT(ISERROR(SEARCH("mittel",H4)))</formula>
    </cfRule>
    <cfRule type="containsText" dxfId="3" priority="6" operator="containsText" text="niedrig">
      <formula>NOT(ISERROR(SEARCH("niedrig",H4)))</formula>
    </cfRule>
  </conditionalFormatting>
  <conditionalFormatting sqref="K4:K9">
    <cfRule type="containsText" dxfId="2" priority="1" operator="containsText" text="hoch">
      <formula>NOT(ISERROR(SEARCH("hoch",K4)))</formula>
    </cfRule>
    <cfRule type="containsText" dxfId="1" priority="2" operator="containsText" text="mittel">
      <formula>NOT(ISERROR(SEARCH("mittel",K4)))</formula>
    </cfRule>
    <cfRule type="containsText" dxfId="0" priority="3" operator="containsText" text="niedrig">
      <formula>NOT(ISERROR(SEARCH("niedrig",K4)))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D7C73-58E9-404D-98B9-DF255D4E0CB0}">
  <dimension ref="A1:Q6"/>
  <sheetViews>
    <sheetView workbookViewId="0">
      <selection activeCell="O2" sqref="O2"/>
    </sheetView>
  </sheetViews>
  <sheetFormatPr defaultRowHeight="14.4" x14ac:dyDescent="0.3"/>
  <cols>
    <col min="1" max="1" width="13.77734375" bestFit="1" customWidth="1"/>
    <col min="2" max="2" width="9.44140625" bestFit="1" customWidth="1"/>
    <col min="3" max="3" width="34.6640625" bestFit="1" customWidth="1"/>
    <col min="4" max="4" width="17.44140625" bestFit="1" customWidth="1"/>
    <col min="5" max="5" width="8.33203125" bestFit="1" customWidth="1"/>
    <col min="6" max="6" width="11.21875" bestFit="1" customWidth="1"/>
    <col min="7" max="7" width="17" bestFit="1" customWidth="1"/>
    <col min="8" max="8" width="8.33203125" bestFit="1" customWidth="1"/>
    <col min="9" max="9" width="12" bestFit="1" customWidth="1"/>
    <col min="10" max="10" width="17" bestFit="1" customWidth="1"/>
    <col min="11" max="11" width="21.88671875" bestFit="1" customWidth="1"/>
    <col min="12" max="12" width="6" bestFit="1" customWidth="1"/>
    <col min="13" max="13" width="17" bestFit="1" customWidth="1"/>
    <col min="14" max="14" width="9.88671875" bestFit="1" customWidth="1"/>
    <col min="15" max="15" width="12.6640625" bestFit="1" customWidth="1"/>
    <col min="16" max="16" width="10.6640625" bestFit="1" customWidth="1"/>
    <col min="17" max="17" width="10.33203125" bestFit="1" customWidth="1"/>
  </cols>
  <sheetData>
    <row r="1" spans="1:17" s="1" customFormat="1" ht="16.8" x14ac:dyDescent="0.4">
      <c r="A1" s="30" t="s">
        <v>0</v>
      </c>
      <c r="B1" s="30" t="s">
        <v>1</v>
      </c>
      <c r="C1" s="31" t="s">
        <v>94</v>
      </c>
      <c r="D1" s="15" t="s">
        <v>95</v>
      </c>
      <c r="E1" s="15" t="s">
        <v>96</v>
      </c>
      <c r="F1" s="15" t="s">
        <v>158</v>
      </c>
      <c r="G1" s="15" t="s">
        <v>98</v>
      </c>
      <c r="H1" s="15" t="s">
        <v>99</v>
      </c>
      <c r="I1" s="15" t="s">
        <v>159</v>
      </c>
      <c r="J1" s="15" t="s">
        <v>98</v>
      </c>
      <c r="K1" s="15" t="s">
        <v>100</v>
      </c>
      <c r="L1" s="15" t="s">
        <v>97</v>
      </c>
      <c r="M1" s="15" t="s">
        <v>98</v>
      </c>
      <c r="N1" s="15" t="s">
        <v>101</v>
      </c>
      <c r="O1" s="43" t="s">
        <v>102</v>
      </c>
      <c r="P1" s="46" t="s">
        <v>103</v>
      </c>
      <c r="Q1" s="46" t="s">
        <v>161</v>
      </c>
    </row>
    <row r="2" spans="1:17" s="1" customFormat="1" ht="16.8" x14ac:dyDescent="0.4">
      <c r="A2" s="32" t="s">
        <v>153</v>
      </c>
      <c r="B2" s="33" t="s">
        <v>143</v>
      </c>
      <c r="C2" s="34" t="s">
        <v>148</v>
      </c>
      <c r="D2" s="2" t="s">
        <v>120</v>
      </c>
      <c r="E2" s="2" t="s">
        <v>105</v>
      </c>
      <c r="F2" s="2">
        <f>IFERROR(VLOOKUP(E2,'Assignment Table'!$A$1:$B$6,2,FALSE),"")</f>
        <v>3</v>
      </c>
      <c r="G2" s="2">
        <f>IF(OR(F2="", N2=""), "", F2*N2)</f>
        <v>3</v>
      </c>
      <c r="H2" s="2" t="s">
        <v>105</v>
      </c>
      <c r="I2" s="2">
        <f>IFERROR(VLOOKUP(H2,'Assignment Table'!$A$1:$B$6,2,FALSE),"")</f>
        <v>3</v>
      </c>
      <c r="J2" s="2">
        <f>IF(OR(I2="", N2=""), "", I2*N2)</f>
        <v>3</v>
      </c>
      <c r="K2" s="2" t="s">
        <v>107</v>
      </c>
      <c r="L2" s="2">
        <f>IFERROR(VLOOKUP(K2,'Assignment Table'!$A$1:$K$6,2,FALSE),"")</f>
        <v>2</v>
      </c>
      <c r="M2" s="2">
        <f>IF(OR(L2="", N2=""), "", L2*N2)</f>
        <v>2</v>
      </c>
      <c r="N2" s="2">
        <v>1</v>
      </c>
      <c r="O2" s="44">
        <f>IF(OR(F2="", I2="", L2="", N2=""), "", IF(F2*I2*L2*N2=0, F2*I2*N2, F2*I2*L2*N2))</f>
        <v>18</v>
      </c>
      <c r="P2" s="5" t="str">
        <f>IF(OR(O2=""), "", IF(O2&gt;=1.5, "yes", "no"))</f>
        <v>yes</v>
      </c>
      <c r="Q2" s="2">
        <v>30</v>
      </c>
    </row>
    <row r="3" spans="1:17" s="1" customFormat="1" ht="33.6" x14ac:dyDescent="0.4">
      <c r="A3" s="26" t="s">
        <v>153</v>
      </c>
      <c r="B3" s="27" t="s">
        <v>144</v>
      </c>
      <c r="C3" s="4" t="s">
        <v>149</v>
      </c>
      <c r="D3" s="21" t="s">
        <v>122</v>
      </c>
      <c r="E3" s="21" t="s">
        <v>107</v>
      </c>
      <c r="F3" s="21">
        <f>IFERROR(VLOOKUP(E3,'Assignment Table'!$A$1:$B$6,2,FALSE),"")</f>
        <v>2</v>
      </c>
      <c r="G3" s="21">
        <f>IF(OR(F3="", N3=""), "", F3*N3)</f>
        <v>1.2</v>
      </c>
      <c r="H3" s="21" t="s">
        <v>105</v>
      </c>
      <c r="I3" s="21">
        <f>IFERROR(VLOOKUP(H3,'Assignment Table'!$A$1:$B$6,2,FALSE),"")</f>
        <v>3</v>
      </c>
      <c r="J3" s="21">
        <f>IF(OR(I3="", N3=""), "", I3*N3)</f>
        <v>1.7999999999999998</v>
      </c>
      <c r="K3" s="21" t="s">
        <v>105</v>
      </c>
      <c r="L3" s="21">
        <f>IFERROR(VLOOKUP(K3,'Assignment Table'!$A$1:$K$6,2,FALSE),"")</f>
        <v>3</v>
      </c>
      <c r="M3" s="21">
        <f>IF(OR(L3="", N3=""), "", L3*N3)</f>
        <v>1.7999999999999998</v>
      </c>
      <c r="N3" s="21">
        <v>0.6</v>
      </c>
      <c r="O3" s="45">
        <f>IF(OR(F3="", I3="", L3="", N3=""), "", IF(F3*I3*L3*N3=0, F3*I3*N3, F3*I3*L3*N3))</f>
        <v>10.799999999999999</v>
      </c>
      <c r="P3" s="7" t="str">
        <f>IF(OR(O3=""), "", IF(O3&gt;=1.5, "yes", "no"))</f>
        <v>yes</v>
      </c>
      <c r="Q3" s="2">
        <v>25</v>
      </c>
    </row>
    <row r="4" spans="1:17" s="1" customFormat="1" ht="16.8" x14ac:dyDescent="0.4">
      <c r="A4" s="28" t="s">
        <v>154</v>
      </c>
      <c r="B4" s="27" t="s">
        <v>145</v>
      </c>
      <c r="C4" s="2" t="s">
        <v>150</v>
      </c>
      <c r="D4" s="2" t="s">
        <v>119</v>
      </c>
      <c r="E4" s="2" t="s">
        <v>105</v>
      </c>
      <c r="F4" s="2">
        <f>IFERROR(VLOOKUP(E4,'Assignment Table'!$A$1:$B$6,2,FALSE),"")</f>
        <v>3</v>
      </c>
      <c r="G4" s="2">
        <f>IF(OR(F4="", N4=""), "", F4*N4)</f>
        <v>3</v>
      </c>
      <c r="H4" s="2" t="s">
        <v>105</v>
      </c>
      <c r="I4" s="2">
        <f>IFERROR(VLOOKUP(H4,'Assignment Table'!$A$1:$B$6,2,FALSE),"")</f>
        <v>3</v>
      </c>
      <c r="J4" s="2">
        <f>IF(OR(I4="", N4=""), "", I4*N4)</f>
        <v>3</v>
      </c>
      <c r="K4" s="2" t="s">
        <v>106</v>
      </c>
      <c r="L4" s="2">
        <f>IFERROR(VLOOKUP(K4,'Assignment Table'!$A$1:$K$6,2,FALSE),"")</f>
        <v>0</v>
      </c>
      <c r="M4" s="2">
        <f>IF(OR(L4="", N4=""), "", L4*N4)</f>
        <v>0</v>
      </c>
      <c r="N4" s="2">
        <v>1</v>
      </c>
      <c r="O4" s="44">
        <f>IF(OR(F4="", I4="", L4="", N4=""), "", IF(F4*I4*L4*N4=0, F4*I4*N4, F4*I4*L4*N4))</f>
        <v>9</v>
      </c>
      <c r="P4" s="5" t="str">
        <f>IF(OR(O4=""), "", IF(O4&gt;=1.5, "yes", "no"))</f>
        <v>yes</v>
      </c>
      <c r="Q4" s="2">
        <v>20</v>
      </c>
    </row>
    <row r="5" spans="1:17" s="1" customFormat="1" ht="16.8" x14ac:dyDescent="0.4">
      <c r="A5" s="28" t="s">
        <v>154</v>
      </c>
      <c r="B5" s="27" t="s">
        <v>146</v>
      </c>
      <c r="C5" s="2" t="s">
        <v>151</v>
      </c>
      <c r="D5" s="2" t="s">
        <v>119</v>
      </c>
      <c r="E5" s="2" t="s">
        <v>105</v>
      </c>
      <c r="F5" s="2">
        <f>IFERROR(VLOOKUP(E5,'Assignment Table'!$A$1:$B$6,2,FALSE),"")</f>
        <v>3</v>
      </c>
      <c r="G5" s="2">
        <f>IF(OR(F5="", N5=""), "", F5*N5)</f>
        <v>3</v>
      </c>
      <c r="H5" s="2" t="s">
        <v>107</v>
      </c>
      <c r="I5" s="2">
        <f>IFERROR(VLOOKUP(H5,'Assignment Table'!$A$1:$B$6,2,FALSE),"")</f>
        <v>2</v>
      </c>
      <c r="J5" s="2">
        <f>IF(OR(I5="", N5=""), "", I5*N5)</f>
        <v>2</v>
      </c>
      <c r="K5" s="2" t="s">
        <v>106</v>
      </c>
      <c r="L5" s="2">
        <f>IFERROR(VLOOKUP(K5,'Assignment Table'!$A$1:$K$6,2,FALSE),"")</f>
        <v>0</v>
      </c>
      <c r="M5" s="2">
        <f>IF(OR(L5="", N5=""), "", L5*N5)</f>
        <v>0</v>
      </c>
      <c r="N5" s="2">
        <v>1</v>
      </c>
      <c r="O5" s="44">
        <f>IF(OR(F5="", I5="", L5="", N5=""), "", IF(F5*I5*L5*N5=0, F5*I5*N5, F5*I5*L5*N5))</f>
        <v>6</v>
      </c>
      <c r="P5" s="5" t="str">
        <f>IF(OR(O5=""), "", IF(O5&gt;=1.5, "yes", "no"))</f>
        <v>yes</v>
      </c>
      <c r="Q5" s="16">
        <v>30</v>
      </c>
    </row>
    <row r="6" spans="1:17" s="1" customFormat="1" ht="33.6" x14ac:dyDescent="0.4">
      <c r="A6" s="29" t="s">
        <v>155</v>
      </c>
      <c r="B6" s="27" t="s">
        <v>147</v>
      </c>
      <c r="C6" s="20" t="s">
        <v>152</v>
      </c>
      <c r="D6" s="21" t="s">
        <v>119</v>
      </c>
      <c r="E6" s="21" t="s">
        <v>105</v>
      </c>
      <c r="F6" s="21">
        <f>IFERROR(VLOOKUP(E6,'Assignment Table'!$A$1:$B$6,2,FALSE),"")</f>
        <v>3</v>
      </c>
      <c r="G6" s="21">
        <f>IF(OR(F6="", N6=""), "", F6*N6)</f>
        <v>3</v>
      </c>
      <c r="H6" s="21" t="s">
        <v>107</v>
      </c>
      <c r="I6" s="21">
        <f>IFERROR(VLOOKUP(H6,'Assignment Table'!$A$1:$B$6,2,FALSE),"")</f>
        <v>2</v>
      </c>
      <c r="J6" s="21">
        <f>IF(OR(I6="", N6=""), "", I6*N6)</f>
        <v>2</v>
      </c>
      <c r="K6" s="21" t="s">
        <v>106</v>
      </c>
      <c r="L6" s="21">
        <f>IFERROR(VLOOKUP(K6,'Assignment Table'!$A$1:$K$6,2,FALSE),"")</f>
        <v>0</v>
      </c>
      <c r="M6" s="21">
        <f>IF(OR(L6="", N6=""), "", L6*N6)</f>
        <v>0</v>
      </c>
      <c r="N6" s="21">
        <v>1</v>
      </c>
      <c r="O6" s="45">
        <f>IF(OR(F6="", I6="", L6="", N6=""), "", IF(F6*I6*L6*N6=0, F6*I6*N6, F6*I6*L6*N6))</f>
        <v>6</v>
      </c>
      <c r="P6" s="7" t="str">
        <f>IF(OR(O6=""), "", IF(O6&gt;=1.5, "yes", "no"))</f>
        <v>yes</v>
      </c>
      <c r="Q6" s="16">
        <v>25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BC9FD41-2184-4F20-9EEE-2A0935338968}">
          <x14:formula1>
            <xm:f>'Assignment Table'!$D$2:$D$11</xm:f>
          </x14:formula1>
          <xm:sqref>N2:N6</xm:sqref>
        </x14:dataValidation>
        <x14:dataValidation type="list" allowBlank="1" showInputMessage="1" showErrorMessage="1" xr:uid="{FFA5FD34-D6DB-447D-85C1-5A8DB33D331F}">
          <x14:formula1>
            <xm:f>'Assignment Table'!$F$2:$F$5</xm:f>
          </x14:formula1>
          <xm:sqref>D2:D6</xm:sqref>
        </x14:dataValidation>
        <x14:dataValidation type="list" allowBlank="1" showInputMessage="1" showErrorMessage="1" xr:uid="{66BBA8BE-B9CF-48C5-B95A-65E834778ABB}">
          <x14:formula1>
            <xm:f>'Assignment Table'!$A$3:$A$6</xm:f>
          </x14:formula1>
          <xm:sqref>H2:H6 K2:K6 E2:E6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44BD-ED3B-42A1-B42E-3F3A8C62A435}">
  <dimension ref="A1:Q11"/>
  <sheetViews>
    <sheetView workbookViewId="0">
      <selection activeCell="D2" sqref="D2"/>
    </sheetView>
  </sheetViews>
  <sheetFormatPr defaultRowHeight="14.4" x14ac:dyDescent="0.3"/>
  <cols>
    <col min="1" max="1" width="13.77734375" bestFit="1" customWidth="1"/>
    <col min="2" max="2" width="9.44140625" bestFit="1" customWidth="1"/>
    <col min="3" max="3" width="11.6640625" bestFit="1" customWidth="1"/>
    <col min="4" max="4" width="18.6640625" bestFit="1" customWidth="1"/>
    <col min="5" max="5" width="4.77734375" bestFit="1" customWidth="1"/>
    <col min="6" max="6" width="25.88671875" bestFit="1" customWidth="1"/>
    <col min="7" max="7" width="15.5546875" bestFit="1" customWidth="1"/>
    <col min="8" max="8" width="4.77734375" bestFit="1" customWidth="1"/>
    <col min="9" max="9" width="19" bestFit="1" customWidth="1"/>
    <col min="10" max="10" width="14.44140625" bestFit="1" customWidth="1"/>
    <col min="11" max="15" width="4.77734375" bestFit="1" customWidth="1"/>
    <col min="16" max="16" width="12.6640625" bestFit="1" customWidth="1"/>
    <col min="17" max="17" width="10.6640625" bestFit="1" customWidth="1"/>
  </cols>
  <sheetData>
    <row r="1" spans="1:17" ht="16.8" x14ac:dyDescent="0.4">
      <c r="A1" s="10" t="s">
        <v>0</v>
      </c>
      <c r="B1" s="10" t="s">
        <v>1</v>
      </c>
      <c r="C1" s="10" t="s">
        <v>163</v>
      </c>
      <c r="D1" s="31" t="s">
        <v>108</v>
      </c>
      <c r="E1" s="31"/>
      <c r="F1" s="31" t="s">
        <v>109</v>
      </c>
      <c r="G1" s="15" t="s">
        <v>162</v>
      </c>
      <c r="H1" s="31"/>
      <c r="I1" s="31" t="s">
        <v>110</v>
      </c>
      <c r="J1" s="31" t="s">
        <v>160</v>
      </c>
      <c r="K1" s="31"/>
      <c r="L1" s="31"/>
      <c r="M1" s="31"/>
      <c r="N1" s="31"/>
      <c r="O1" s="31"/>
      <c r="P1" s="31" t="s">
        <v>161</v>
      </c>
      <c r="Q1" s="31" t="s">
        <v>103</v>
      </c>
    </row>
    <row r="2" spans="1:17" ht="16.8" x14ac:dyDescent="0.4">
      <c r="A2" s="32" t="s">
        <v>153</v>
      </c>
      <c r="B2" s="27" t="s">
        <v>143</v>
      </c>
      <c r="C2" s="67" t="s">
        <v>73</v>
      </c>
      <c r="D2" s="35" t="s">
        <v>133</v>
      </c>
      <c r="E2" s="22" t="s">
        <v>131</v>
      </c>
      <c r="F2" s="16" t="s">
        <v>111</v>
      </c>
      <c r="G2" s="2">
        <f>IFERROR(VLOOKUP(F2,'Assignment Table'!$H$3:$I$9,2,FALSE),"")</f>
        <v>4</v>
      </c>
      <c r="H2" s="22" t="s">
        <v>131</v>
      </c>
      <c r="I2" s="2" t="s">
        <v>107</v>
      </c>
      <c r="J2" s="2">
        <f>IFERROR(VLOOKUP(I2,'Assignment Table'!$K$3:$L$9,2,FALSE),"")</f>
        <v>5</v>
      </c>
      <c r="K2" s="22" t="s">
        <v>131</v>
      </c>
      <c r="L2" s="22" t="s">
        <v>131</v>
      </c>
      <c r="M2" s="22" t="s">
        <v>131</v>
      </c>
      <c r="N2" s="22" t="s">
        <v>131</v>
      </c>
      <c r="O2" s="22" t="s">
        <v>131</v>
      </c>
      <c r="P2" s="2">
        <f t="shared" ref="P2:P11" si="0">IF(OR(G2="", J2=""), "", G2*J2)</f>
        <v>20</v>
      </c>
      <c r="Q2" s="5" t="str">
        <f t="shared" ref="Q2:Q11" si="1">IF(OR(G2="", J2=""), "", IF(G2*J2 &gt;=20, "yes", IF(G2*J2 &lt;20, "no", "")))</f>
        <v>yes</v>
      </c>
    </row>
    <row r="3" spans="1:17" ht="16.8" x14ac:dyDescent="0.4">
      <c r="A3" s="26" t="s">
        <v>153</v>
      </c>
      <c r="B3" s="27" t="s">
        <v>143</v>
      </c>
      <c r="C3" s="67" t="s">
        <v>74</v>
      </c>
      <c r="D3" s="35" t="s">
        <v>134</v>
      </c>
      <c r="E3" s="22" t="s">
        <v>131</v>
      </c>
      <c r="F3" s="16" t="s">
        <v>112</v>
      </c>
      <c r="G3" s="2">
        <f>IFERROR(VLOOKUP(F3,'Assignment Table'!$H$3:$I$9,2,FALSE),"")</f>
        <v>5</v>
      </c>
      <c r="H3" s="22" t="s">
        <v>131</v>
      </c>
      <c r="I3" s="2" t="s">
        <v>105</v>
      </c>
      <c r="J3" s="2">
        <f>IFERROR(VLOOKUP(I3,'Assignment Table'!$K$3:$L$9,2,FALSE),"")</f>
        <v>6</v>
      </c>
      <c r="K3" s="22" t="s">
        <v>131</v>
      </c>
      <c r="L3" s="22" t="s">
        <v>131</v>
      </c>
      <c r="M3" s="22" t="s">
        <v>131</v>
      </c>
      <c r="N3" s="22" t="s">
        <v>131</v>
      </c>
      <c r="O3" s="22" t="s">
        <v>131</v>
      </c>
      <c r="P3" s="2">
        <f t="shared" si="0"/>
        <v>30</v>
      </c>
      <c r="Q3" s="5" t="str">
        <f t="shared" si="1"/>
        <v>yes</v>
      </c>
    </row>
    <row r="4" spans="1:17" ht="16.8" x14ac:dyDescent="0.4">
      <c r="A4" s="32" t="s">
        <v>153</v>
      </c>
      <c r="B4" s="27" t="s">
        <v>144</v>
      </c>
      <c r="C4" s="67" t="s">
        <v>73</v>
      </c>
      <c r="D4" s="35" t="s">
        <v>141</v>
      </c>
      <c r="E4" s="22" t="s">
        <v>131</v>
      </c>
      <c r="F4" s="16" t="s">
        <v>112</v>
      </c>
      <c r="G4" s="2">
        <f>IFERROR(VLOOKUP(F4,'Assignment Table'!$H$3:$I$9,2,FALSE),"")</f>
        <v>5</v>
      </c>
      <c r="H4" s="22" t="s">
        <v>131</v>
      </c>
      <c r="I4" s="2" t="s">
        <v>107</v>
      </c>
      <c r="J4" s="2">
        <f>IFERROR(VLOOKUP(I4,'Assignment Table'!$K$3:$L$9,2,FALSE),"")</f>
        <v>5</v>
      </c>
      <c r="K4" s="22" t="s">
        <v>131</v>
      </c>
      <c r="L4" s="22" t="s">
        <v>131</v>
      </c>
      <c r="M4" s="22" t="s">
        <v>131</v>
      </c>
      <c r="N4" s="22" t="s">
        <v>131</v>
      </c>
      <c r="O4" s="22" t="s">
        <v>131</v>
      </c>
      <c r="P4" s="2">
        <f t="shared" si="0"/>
        <v>25</v>
      </c>
      <c r="Q4" s="5" t="str">
        <f t="shared" si="1"/>
        <v>yes</v>
      </c>
    </row>
    <row r="5" spans="1:17" ht="16.8" x14ac:dyDescent="0.4">
      <c r="A5" s="26" t="s">
        <v>153</v>
      </c>
      <c r="B5" s="27" t="s">
        <v>144</v>
      </c>
      <c r="C5" s="67" t="s">
        <v>74</v>
      </c>
      <c r="D5" s="35" t="s">
        <v>142</v>
      </c>
      <c r="E5" s="22" t="s">
        <v>131</v>
      </c>
      <c r="F5" s="16" t="s">
        <v>111</v>
      </c>
      <c r="G5" s="2">
        <f>IFERROR(VLOOKUP(F5,'Assignment Table'!$H$3:$I$9,2,FALSE),"")</f>
        <v>4</v>
      </c>
      <c r="H5" s="22" t="s">
        <v>131</v>
      </c>
      <c r="I5" s="2" t="s">
        <v>105</v>
      </c>
      <c r="J5" s="2">
        <f>IFERROR(VLOOKUP(I5,'Assignment Table'!$K$3:$L$9,2,FALSE),"")</f>
        <v>6</v>
      </c>
      <c r="K5" s="22" t="s">
        <v>131</v>
      </c>
      <c r="L5" s="22" t="s">
        <v>131</v>
      </c>
      <c r="M5" s="22" t="s">
        <v>131</v>
      </c>
      <c r="N5" s="22" t="s">
        <v>131</v>
      </c>
      <c r="O5" s="22" t="s">
        <v>131</v>
      </c>
      <c r="P5" s="2">
        <f t="shared" si="0"/>
        <v>24</v>
      </c>
      <c r="Q5" s="5" t="str">
        <f t="shared" si="1"/>
        <v>yes</v>
      </c>
    </row>
    <row r="6" spans="1:17" ht="16.8" x14ac:dyDescent="0.4">
      <c r="A6" s="28" t="s">
        <v>154</v>
      </c>
      <c r="B6" s="27" t="s">
        <v>145</v>
      </c>
      <c r="C6" s="67" t="s">
        <v>73</v>
      </c>
      <c r="D6" s="35" t="s">
        <v>135</v>
      </c>
      <c r="E6" s="22" t="s">
        <v>131</v>
      </c>
      <c r="F6" s="16" t="s">
        <v>111</v>
      </c>
      <c r="G6" s="2">
        <f>IFERROR(VLOOKUP(F6,'Assignment Table'!$H$3:$I$9,2,FALSE),"")</f>
        <v>4</v>
      </c>
      <c r="H6" s="22" t="s">
        <v>131</v>
      </c>
      <c r="I6" s="2" t="s">
        <v>107</v>
      </c>
      <c r="J6" s="2">
        <f>IFERROR(VLOOKUP(I6,'Assignment Table'!$K$3:$L$9,2,FALSE),"")</f>
        <v>5</v>
      </c>
      <c r="K6" s="22" t="s">
        <v>131</v>
      </c>
      <c r="L6" s="22" t="s">
        <v>131</v>
      </c>
      <c r="M6" s="22" t="s">
        <v>131</v>
      </c>
      <c r="N6" s="22" t="s">
        <v>131</v>
      </c>
      <c r="O6" s="22" t="s">
        <v>131</v>
      </c>
      <c r="P6" s="2">
        <f t="shared" si="0"/>
        <v>20</v>
      </c>
      <c r="Q6" s="5" t="str">
        <f t="shared" si="1"/>
        <v>yes</v>
      </c>
    </row>
    <row r="7" spans="1:17" ht="16.8" x14ac:dyDescent="0.4">
      <c r="A7" s="28" t="s">
        <v>154</v>
      </c>
      <c r="B7" s="27" t="s">
        <v>145</v>
      </c>
      <c r="C7" s="67" t="s">
        <v>74</v>
      </c>
      <c r="D7" s="35" t="s">
        <v>136</v>
      </c>
      <c r="E7" s="22" t="s">
        <v>131</v>
      </c>
      <c r="F7" s="16" t="s">
        <v>111</v>
      </c>
      <c r="G7" s="2">
        <f>IFERROR(VLOOKUP(F7,'Assignment Table'!$H$3:$I$9,2,FALSE),"")</f>
        <v>4</v>
      </c>
      <c r="H7" s="22" t="s">
        <v>131</v>
      </c>
      <c r="I7" s="2" t="s">
        <v>107</v>
      </c>
      <c r="J7" s="2">
        <f>IFERROR(VLOOKUP(I7,'Assignment Table'!$K$3:$L$9,2,FALSE),"")</f>
        <v>5</v>
      </c>
      <c r="K7" s="22" t="s">
        <v>131</v>
      </c>
      <c r="L7" s="22" t="s">
        <v>131</v>
      </c>
      <c r="M7" s="22" t="s">
        <v>131</v>
      </c>
      <c r="N7" s="22" t="s">
        <v>131</v>
      </c>
      <c r="O7" s="22" t="s">
        <v>131</v>
      </c>
      <c r="P7" s="2">
        <f t="shared" si="0"/>
        <v>20</v>
      </c>
      <c r="Q7" s="5" t="str">
        <f t="shared" si="1"/>
        <v>yes</v>
      </c>
    </row>
    <row r="8" spans="1:17" ht="16.8" x14ac:dyDescent="0.4">
      <c r="A8" s="28" t="s">
        <v>154</v>
      </c>
      <c r="B8" s="27" t="s">
        <v>146</v>
      </c>
      <c r="C8" s="67" t="s">
        <v>73</v>
      </c>
      <c r="D8" s="35" t="s">
        <v>138</v>
      </c>
      <c r="E8" s="22" t="s">
        <v>131</v>
      </c>
      <c r="F8" s="16" t="s">
        <v>112</v>
      </c>
      <c r="G8" s="2">
        <f>IFERROR(VLOOKUP(F8,'Assignment Table'!$H$3:$I$9,2,FALSE),"")</f>
        <v>5</v>
      </c>
      <c r="H8" s="22" t="s">
        <v>131</v>
      </c>
      <c r="I8" s="2" t="s">
        <v>107</v>
      </c>
      <c r="J8" s="2">
        <f>IFERROR(VLOOKUP(I8,'Assignment Table'!$K$3:$L$9,2,FALSE),"")</f>
        <v>5</v>
      </c>
      <c r="K8" s="22" t="s">
        <v>131</v>
      </c>
      <c r="L8" s="22" t="s">
        <v>131</v>
      </c>
      <c r="M8" s="22" t="s">
        <v>131</v>
      </c>
      <c r="N8" s="22" t="s">
        <v>131</v>
      </c>
      <c r="O8" s="22" t="s">
        <v>131</v>
      </c>
      <c r="P8" s="2">
        <f t="shared" si="0"/>
        <v>25</v>
      </c>
      <c r="Q8" s="5" t="str">
        <f t="shared" si="1"/>
        <v>yes</v>
      </c>
    </row>
    <row r="9" spans="1:17" ht="16.8" x14ac:dyDescent="0.4">
      <c r="A9" s="28" t="s">
        <v>154</v>
      </c>
      <c r="B9" s="27" t="s">
        <v>146</v>
      </c>
      <c r="C9" s="67" t="s">
        <v>74</v>
      </c>
      <c r="D9" s="35" t="s">
        <v>137</v>
      </c>
      <c r="E9" s="22" t="s">
        <v>131</v>
      </c>
      <c r="F9" s="16" t="s">
        <v>112</v>
      </c>
      <c r="G9" s="2">
        <f>IFERROR(VLOOKUP(F9,'Assignment Table'!$H$3:$I$9,2,FALSE),"")</f>
        <v>5</v>
      </c>
      <c r="H9" s="22" t="s">
        <v>131</v>
      </c>
      <c r="I9" s="2" t="s">
        <v>105</v>
      </c>
      <c r="J9" s="2">
        <f>IFERROR(VLOOKUP(I9,'Assignment Table'!$K$3:$L$9,2,FALSE),"")</f>
        <v>6</v>
      </c>
      <c r="K9" s="22" t="s">
        <v>131</v>
      </c>
      <c r="L9" s="22" t="s">
        <v>131</v>
      </c>
      <c r="M9" s="22" t="s">
        <v>131</v>
      </c>
      <c r="N9" s="22" t="s">
        <v>131</v>
      </c>
      <c r="O9" s="22" t="s">
        <v>131</v>
      </c>
      <c r="P9" s="2">
        <f t="shared" si="0"/>
        <v>30</v>
      </c>
      <c r="Q9" s="5" t="str">
        <f t="shared" si="1"/>
        <v>yes</v>
      </c>
    </row>
    <row r="10" spans="1:17" ht="16.8" x14ac:dyDescent="0.4">
      <c r="A10" s="29" t="s">
        <v>155</v>
      </c>
      <c r="B10" s="27" t="s">
        <v>147</v>
      </c>
      <c r="C10" s="67" t="s">
        <v>73</v>
      </c>
      <c r="D10" s="36" t="s">
        <v>139</v>
      </c>
      <c r="E10" s="23" t="s">
        <v>131</v>
      </c>
      <c r="F10" s="25" t="s">
        <v>111</v>
      </c>
      <c r="G10" s="24">
        <f>IFERROR(VLOOKUP(F10,'Assignment Table'!$H$3:$I$9,2,FALSE),"")</f>
        <v>4</v>
      </c>
      <c r="H10" s="23" t="s">
        <v>131</v>
      </c>
      <c r="I10" s="6" t="s">
        <v>107</v>
      </c>
      <c r="J10" s="24">
        <f>IFERROR(VLOOKUP(I10,'Assignment Table'!$K$3:$L$9,2,FALSE),"")</f>
        <v>5</v>
      </c>
      <c r="K10" s="23" t="s">
        <v>131</v>
      </c>
      <c r="L10" s="23" t="s">
        <v>131</v>
      </c>
      <c r="M10" s="23" t="s">
        <v>131</v>
      </c>
      <c r="N10" s="23" t="s">
        <v>131</v>
      </c>
      <c r="O10" s="23" t="s">
        <v>131</v>
      </c>
      <c r="P10" s="24">
        <f t="shared" si="0"/>
        <v>20</v>
      </c>
      <c r="Q10" s="7" t="str">
        <f t="shared" si="1"/>
        <v>yes</v>
      </c>
    </row>
    <row r="11" spans="1:17" ht="16.8" x14ac:dyDescent="0.4">
      <c r="A11" s="29" t="s">
        <v>155</v>
      </c>
      <c r="B11" s="27" t="s">
        <v>147</v>
      </c>
      <c r="C11" s="67" t="s">
        <v>74</v>
      </c>
      <c r="D11" s="36" t="s">
        <v>140</v>
      </c>
      <c r="E11" s="23" t="s">
        <v>131</v>
      </c>
      <c r="F11" s="25" t="s">
        <v>112</v>
      </c>
      <c r="G11" s="24">
        <f>IFERROR(VLOOKUP(F11,'Assignment Table'!$H$3:$I$9,2,FALSE),"")</f>
        <v>5</v>
      </c>
      <c r="H11" s="23" t="s">
        <v>131</v>
      </c>
      <c r="I11" s="6" t="s">
        <v>107</v>
      </c>
      <c r="J11" s="24">
        <f>IFERROR(VLOOKUP(I11,'Assignment Table'!$K$3:$L$9,2,FALSE),"")</f>
        <v>5</v>
      </c>
      <c r="K11" s="23" t="s">
        <v>131</v>
      </c>
      <c r="L11" s="23" t="s">
        <v>131</v>
      </c>
      <c r="M11" s="23" t="s">
        <v>131</v>
      </c>
      <c r="N11" s="23" t="s">
        <v>131</v>
      </c>
      <c r="O11" s="23" t="s">
        <v>131</v>
      </c>
      <c r="P11" s="24">
        <f t="shared" si="0"/>
        <v>25</v>
      </c>
      <c r="Q11" s="7" t="str">
        <f t="shared" si="1"/>
        <v>yes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5ACD79C-17AB-441E-AB17-66D63BD05E6B}">
          <x14:formula1>
            <xm:f>'Assignment Table'!$K$3:$K$9</xm:f>
          </x14:formula1>
          <xm:sqref>I2:I11</xm:sqref>
        </x14:dataValidation>
        <x14:dataValidation type="list" allowBlank="1" showInputMessage="1" showErrorMessage="1" xr:uid="{3C141CB1-4CFE-4393-A43A-3D3F202FC44E}">
          <x14:formula1>
            <xm:f>'Assignment Table'!$H$3:$H$9</xm:f>
          </x14:formula1>
          <xm:sqref>F2:F11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ESRS Topics Overview</vt:lpstr>
      <vt:lpstr>List of IROs</vt:lpstr>
      <vt:lpstr>ESG Analysis</vt:lpstr>
      <vt:lpstr>Assignment Table</vt:lpstr>
      <vt:lpstr>IM Tableau</vt:lpstr>
      <vt:lpstr>FM Tableau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Adalberto Rosendo</dc:creator>
  <cp:lastModifiedBy>Adalberto Rosendo</cp:lastModifiedBy>
  <dcterms:created xsi:type="dcterms:W3CDTF">2026-06-17T19:07:33Z</dcterms:created>
  <dcterms:modified xsi:type="dcterms:W3CDTF">2026-06-19T15:24:27Z</dcterms:modified>
</cp:coreProperties>
</file>